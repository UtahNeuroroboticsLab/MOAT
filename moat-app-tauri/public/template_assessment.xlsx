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eonardo\Documents\ResearchCode\MOAT\moat-app-tauri\public\"/>
    </mc:Choice>
  </mc:AlternateContent>
  <xr:revisionPtr revIDLastSave="0" documentId="13_ncr:1_{9AEF8660-EC1D-4C27-9284-52B063D492CA}" xr6:coauthVersionLast="47" xr6:coauthVersionMax="47" xr10:uidLastSave="{00000000-0000-0000-0000-000000000000}"/>
  <bookViews>
    <workbookView xWindow="28680" yWindow="-330" windowWidth="29040" windowHeight="15720" activeTab="1" xr2:uid="{00000000-000D-0000-FFFF-FFFF00000000}"/>
  </bookViews>
  <sheets>
    <sheet name="1_patient_info" sheetId="1" r:id="rId1"/>
    <sheet name="NOTES" sheetId="16" r:id="rId2"/>
    <sheet name="2_StrokeImpactScale" sheetId="5" r:id="rId3"/>
    <sheet name="3_COPM" sheetId="6" r:id="rId4"/>
    <sheet name="4_ModifiedAshworthScale" sheetId="8" r:id="rId5"/>
    <sheet name="5_Fugl-Meyer" sheetId="11" r:id="rId6"/>
    <sheet name="6_box_and_blocks" sheetId="2" state="hidden" r:id="rId7"/>
    <sheet name="7a_MyomoTasks_WITHOUT_MYOPRO" sheetId="4" r:id="rId8"/>
    <sheet name="7b_MyomoTasks_WITH_MYOPRO" sheetId="13" state="hidden" r:id="rId9"/>
    <sheet name="8a_CAHAI_WITHOUT_MYOPRO" sheetId="3" r:id="rId10"/>
    <sheet name="8b_CAHAI_WITH_MYOPRO" sheetId="15" state="hidden" r:id="rId11"/>
    <sheet name="9a_NASA_TLX_WITHOUT_MYOPRO" sheetId="12" r:id="rId12"/>
    <sheet name="9b_NASA_TLX_WITH_MYOPRO" sheetId="14" state="hidden" r:id="rId13"/>
  </sheets>
  <definedNames>
    <definedName name="ExternalData_1" localSheetId="2" hidden="1">'2_StrokeImpactScale'!$A$8:$F$12</definedName>
    <definedName name="ExternalData_2" localSheetId="2" hidden="1">'2_StrokeImpactScale'!$A$14:$F$21</definedName>
    <definedName name="ExternalData_3" localSheetId="2" hidden="1">'2_StrokeImpactScale'!$A$23:$F$32</definedName>
    <definedName name="ExternalData_4" localSheetId="2" hidden="1">'2_StrokeImpactScale'!$A$34:$F$41</definedName>
    <definedName name="ExternalData_5" localSheetId="2" hidden="1">'2_StrokeImpactScale'!$A$43:$F$53</definedName>
    <definedName name="ExternalData_6" localSheetId="2" hidden="1">'2_StrokeImpactScale'!$A$55:$F$64</definedName>
    <definedName name="ExternalData_7" localSheetId="2" hidden="1">'2_StrokeImpactScale'!$A$66:$F$71</definedName>
    <definedName name="ExternalData_8" localSheetId="2" hidden="1">'2_StrokeImpactScale'!$A$73:$F$81</definedName>
  </definedNames>
  <calcPr calcId="191029"/>
  <extLst>
    <ext xmlns:x15="http://schemas.microsoft.com/office/spreadsheetml/2010/11/main" uri="{FCE2AD5D-F65C-4FA6-A056-5C36A1767C68}">
      <x15:dataModel>
        <x15:modelTables>
          <x15:modelTable id="Table003  Page 2-5c5c6c5e-2c33-4a6a-933c-d12188850eb7" name="Table003  Page 2" connection="Query - Table003 (Page 2)"/>
          <x15:modelTable id="Table004  Page 3-850aacf6-6b8d-44b4-a895-82c159d351d9" name="Table004  Page 3" connection="Query - Table004 (Page 3)"/>
          <x15:modelTable id="Table005  Page 3-1fdb7654-9fc4-46d2-b871-f06dc9e86e48" name="Table005  Page 3" connection="Query - Table005 (Page 3)"/>
          <x15:modelTable id="Table007  Page 4-b78e0258-a37a-40ca-9dde-ec5fc21dde21" name="Table007  Page 4" connection="Query - Table007 (Page 4)"/>
          <x15:modelTable id="Table008  Page 5-8958e339-5b9d-433c-9cce-24b2c57f1a8f" name="Table008  Page 5" connection="Query - Table008 (Page 5)"/>
          <x15:modelTable id="Table009  Page 5-a1a468ec-9e5b-4680-afb3-c4c34e9d7587" name="Table009  Page 5" connection="Query - Table009 (Page 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5" l="1"/>
  <c r="B3" i="13"/>
  <c r="F3" i="8"/>
  <c r="B4" i="14"/>
  <c r="B4" i="12"/>
  <c r="F3" i="15"/>
  <c r="B3" i="15"/>
  <c r="F3" i="3"/>
  <c r="B3" i="3"/>
  <c r="B3" i="4"/>
  <c r="B4" i="2"/>
  <c r="B3" i="2"/>
  <c r="B3" i="11"/>
  <c r="B3" i="8"/>
  <c r="B3" i="6"/>
  <c r="B3" i="5"/>
  <c r="H74" i="5"/>
  <c r="H67" i="5"/>
  <c r="H56" i="5"/>
  <c r="H44" i="5"/>
  <c r="H35" i="5"/>
  <c r="H24" i="5"/>
  <c r="H15" i="5"/>
  <c r="H9" i="5"/>
  <c r="I13" i="11"/>
  <c r="D29" i="15"/>
  <c r="C53" i="13"/>
  <c r="B53" i="13"/>
  <c r="D45" i="13"/>
  <c r="C45" i="13"/>
  <c r="D37" i="13"/>
  <c r="C37" i="13"/>
  <c r="D29" i="13"/>
  <c r="C29" i="13"/>
  <c r="D21" i="13"/>
  <c r="C21" i="13"/>
  <c r="D13" i="13"/>
  <c r="C13" i="13"/>
  <c r="C53" i="4"/>
  <c r="B53" i="4"/>
  <c r="D45" i="4"/>
  <c r="C45" i="4"/>
  <c r="D37" i="4"/>
  <c r="C37" i="4"/>
  <c r="D29" i="4"/>
  <c r="C29" i="4"/>
  <c r="D21" i="4"/>
  <c r="C21" i="4"/>
  <c r="D13" i="4"/>
  <c r="C13" i="4"/>
  <c r="D29" i="3"/>
  <c r="E17" i="6"/>
  <c r="F17" i="6"/>
  <c r="G17" i="6"/>
  <c r="H17" i="6"/>
  <c r="I17" i="6"/>
  <c r="D17" i="6"/>
  <c r="F16" i="6"/>
  <c r="G16" i="6"/>
  <c r="H16" i="6"/>
  <c r="I16" i="6"/>
  <c r="E16" i="6"/>
  <c r="D1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tc={BD59226B-58A2-483F-9F04-1F1350CDCF16}</author>
  </authors>
  <commentList>
    <comment ref="E7" authorId="0" shapeId="0" xr:uid="{BD59226B-58A2-483F-9F04-1F1350CDCF16}">
      <text>
        <t>[Threaded comment]
Your version of Excel allows you to read this threaded comment; however, any edits to it will get removed if the file is opened in a newer version of Excel. Learn more: https://go.microsoft.com/fwlink/?linkid=870924
Comment:
    Use an “X” to tick off a relevant box here. Intended to be similar to the actual FM form</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4BD073-CD23-4D69-8163-5D2AAABF75AE}" keepAlive="1" name="ModelConnection_ExternalData_2" description="Data Model" type="5" refreshedVersion="8" minRefreshableVersion="5" saveData="1">
    <dbPr connection="Data Model Connection" command="Table003  Page 2" commandType="3"/>
    <extLst>
      <ext xmlns:x15="http://schemas.microsoft.com/office/spreadsheetml/2010/11/main" uri="{DE250136-89BD-433C-8126-D09CA5730AF9}">
        <x15:connection id="" model="1"/>
      </ext>
    </extLst>
  </connection>
  <connection id="2" xr16:uid="{4018D34F-4F78-4D3F-9A07-DCC448D8DA81}" keepAlive="1" name="ModelConnection_ExternalData_3" description="Data Model" type="5" refreshedVersion="8" minRefreshableVersion="5" saveData="1">
    <dbPr connection="Data Model Connection" command="Table004  Page 3" commandType="3"/>
    <extLst>
      <ext xmlns:x15="http://schemas.microsoft.com/office/spreadsheetml/2010/11/main" uri="{DE250136-89BD-433C-8126-D09CA5730AF9}">
        <x15:connection id="" model="1"/>
      </ext>
    </extLst>
  </connection>
  <connection id="3" xr16:uid="{81CAF4D3-CACC-4881-ADB5-C5B01295FE5E}" keepAlive="1" name="ModelConnection_ExternalData_4" description="Data Model" type="5" refreshedVersion="8" minRefreshableVersion="5" saveData="1">
    <dbPr connection="Data Model Connection" command="Table005  Page 3" commandType="3"/>
    <extLst>
      <ext xmlns:x15="http://schemas.microsoft.com/office/spreadsheetml/2010/11/main" uri="{DE250136-89BD-433C-8126-D09CA5730AF9}">
        <x15:connection id="" model="1"/>
      </ext>
    </extLst>
  </connection>
  <connection id="4" xr16:uid="{DF218D36-2B81-4E5C-A627-174F3CCF4227}" keepAlive="1" name="ModelConnection_ExternalData_6" description="Data Model" type="5" refreshedVersion="8" minRefreshableVersion="5" saveData="1">
    <dbPr connection="Data Model Connection" command="Table007  Page 4" commandType="3"/>
    <extLst>
      <ext xmlns:x15="http://schemas.microsoft.com/office/spreadsheetml/2010/11/main" uri="{DE250136-89BD-433C-8126-D09CA5730AF9}">
        <x15:connection id="" model="1"/>
      </ext>
    </extLst>
  </connection>
  <connection id="5" xr16:uid="{D1AB93AD-358F-4503-9636-4C9455B470ED}" keepAlive="1" name="ModelConnection_ExternalData_7" description="Data Model" type="5" refreshedVersion="8" minRefreshableVersion="5" saveData="1">
    <dbPr connection="Data Model Connection" command="Table008  Page 5" commandType="3"/>
    <extLst>
      <ext xmlns:x15="http://schemas.microsoft.com/office/spreadsheetml/2010/11/main" uri="{DE250136-89BD-433C-8126-D09CA5730AF9}">
        <x15:connection id="" model="1"/>
      </ext>
    </extLst>
  </connection>
  <connection id="6" xr16:uid="{DA7F02B8-B56C-449F-8773-93668DED03DF}" keepAlive="1" name="ModelConnection_ExternalData_8" description="Data Model" type="5" refreshedVersion="8" minRefreshableVersion="5" saveData="1">
    <dbPr connection="Data Model Connection" command="Table009  Page 5" commandType="3"/>
    <extLst>
      <ext xmlns:x15="http://schemas.microsoft.com/office/spreadsheetml/2010/11/main" uri="{DE250136-89BD-433C-8126-D09CA5730AF9}">
        <x15:connection id="" model="1"/>
      </ext>
    </extLst>
  </connection>
  <connection id="7" xr16:uid="{00EE3A7D-752F-4E14-89E6-EE1797D8A263}" keepAlive="1" name="Query - Table002 (Page 2)" description="Connection to the 'Table002 (Page 2)' query in the workbook." type="5" refreshedVersion="8" background="1" saveData="1">
    <dbPr connection="Provider=Microsoft.Mashup.OleDb.1;Data Source=$Workbook$;Location=&quot;Table002 (Page 2)&quot;;Extended Properties=&quot;&quot;" command="SELECT * FROM [Table002 (Page 2)]"/>
  </connection>
  <connection id="8" xr16:uid="{EEE23523-08CE-467F-B556-786FB0E1D79D}" name="Query - Table003 (Page 2)" description="Connection to the 'Table003 (Page 2)' query in the workbook." type="100" refreshedVersion="8" minRefreshableVersion="5">
    <extLst>
      <ext xmlns:x15="http://schemas.microsoft.com/office/spreadsheetml/2010/11/main" uri="{DE250136-89BD-433C-8126-D09CA5730AF9}">
        <x15:connection id="9762d399-2ac7-4e35-ac41-7e8b418e263d">
          <x15:oledbPr connection="Provider=Microsoft.Mashup.OleDb.1;Data Source=$Workbook$;Location=&quot;Table003 (Page 2)&quot;;Extended Properties=&quot;&quot;">
            <x15:dbTables>
              <x15:dbTable name="Table003 (Page 2)"/>
            </x15:dbTables>
          </x15:oledbPr>
        </x15:connection>
      </ext>
    </extLst>
  </connection>
  <connection id="9" xr16:uid="{4AEFB860-9A35-4F90-B35F-D13D22F189AD}" name="Query - Table004 (Page 3)" description="Connection to the 'Table004 (Page 3)' query in the workbook." type="100" refreshedVersion="8" minRefreshableVersion="5">
    <extLst>
      <ext xmlns:x15="http://schemas.microsoft.com/office/spreadsheetml/2010/11/main" uri="{DE250136-89BD-433C-8126-D09CA5730AF9}">
        <x15:connection id="3d63cc88-b15b-4c1d-ae1f-0483ea5bb23d">
          <x15:oledbPr connection="Provider=Microsoft.Mashup.OleDb.1;Data Source=$Workbook$;Location=&quot;Table004 (Page 3)&quot;;Extended Properties=&quot;&quot;">
            <x15:dbTables>
              <x15:dbTable name="Table004 (Page 3)"/>
            </x15:dbTables>
          </x15:oledbPr>
        </x15:connection>
      </ext>
    </extLst>
  </connection>
  <connection id="10" xr16:uid="{4D3928FF-6614-48E3-8ED7-D5C4A3D71C3F}" name="Query - Table005 (Page 3)" description="Connection to the 'Table005 (Page 3)' query in the workbook." type="100" refreshedVersion="8" minRefreshableVersion="5">
    <extLst>
      <ext xmlns:x15="http://schemas.microsoft.com/office/spreadsheetml/2010/11/main" uri="{DE250136-89BD-433C-8126-D09CA5730AF9}">
        <x15:connection id="e7181c0f-031f-4b5b-a955-d3fc9a2b67b3">
          <x15:oledbPr connection="Provider=Microsoft.Mashup.OleDb.1;Data Source=$Workbook$;Location=&quot;Table005 (Page 3)&quot;;Extended Properties=&quot;&quot;">
            <x15:dbTables>
              <x15:dbTable name="Table005 (Page 3)"/>
            </x15:dbTables>
          </x15:oledbPr>
        </x15:connection>
      </ext>
    </extLst>
  </connection>
  <connection id="11" xr16:uid="{F36B75D9-7866-4D92-8385-1EBB8CBBA10A}" keepAlive="1" name="Query - Table006 (Page 4)" description="Connection to the 'Table006 (Page 4)' query in the workbook." type="5" refreshedVersion="8" background="1" saveData="1">
    <dbPr connection="Provider=Microsoft.Mashup.OleDb.1;Data Source=$Workbook$;Location=&quot;Table006 (Page 4)&quot;;Extended Properties=&quot;&quot;" command="SELECT * FROM [Table006 (Page 4)]"/>
  </connection>
  <connection id="12" xr16:uid="{9F2A23AE-574A-493B-8FFF-5E150B19007B}" name="Query - Table007 (Page 4)" description="Connection to the 'Table007 (Page 4)' query in the workbook." type="100" refreshedVersion="8" minRefreshableVersion="5">
    <extLst>
      <ext xmlns:x15="http://schemas.microsoft.com/office/spreadsheetml/2010/11/main" uri="{DE250136-89BD-433C-8126-D09CA5730AF9}">
        <x15:connection id="d5b6981a-cbbb-4b57-955b-715713bdb7bd">
          <x15:oledbPr connection="Provider=Microsoft.Mashup.OleDb.1;Data Source=$Workbook$;Location=&quot;Table007 (Page 4)&quot;;Extended Properties=&quot;&quot;">
            <x15:dbTables>
              <x15:dbTable name="Table007 (Page 4)"/>
            </x15:dbTables>
          </x15:oledbPr>
        </x15:connection>
      </ext>
    </extLst>
  </connection>
  <connection id="13" xr16:uid="{670B1554-6278-40F6-ACBA-C33D986FE699}" name="Query - Table008 (Page 5)" description="Connection to the 'Table008 (Page 5)' query in the workbook." type="100" refreshedVersion="8" minRefreshableVersion="5">
    <extLst>
      <ext xmlns:x15="http://schemas.microsoft.com/office/spreadsheetml/2010/11/main" uri="{DE250136-89BD-433C-8126-D09CA5730AF9}">
        <x15:connection id="6f04bfab-d86c-42e6-926a-410b6396ee3d">
          <x15:oledbPr connection="Provider=Microsoft.Mashup.OleDb.1;Data Source=$Workbook$;Location=&quot;Table008 (Page 5)&quot;;Extended Properties=&quot;&quot;">
            <x15:dbTables>
              <x15:dbTable name="Table008 (Page 5)"/>
            </x15:dbTables>
          </x15:oledbPr>
        </x15:connection>
      </ext>
    </extLst>
  </connection>
  <connection id="14" xr16:uid="{DC172DBD-5166-46DD-9A00-9E8A8CDAB400}" name="Query - Table009 (Page 5)" description="Connection to the 'Table009 (Page 5)' query in the workbook." type="100" refreshedVersion="8" minRefreshableVersion="5">
    <extLst>
      <ext xmlns:x15="http://schemas.microsoft.com/office/spreadsheetml/2010/11/main" uri="{DE250136-89BD-433C-8126-D09CA5730AF9}">
        <x15:connection id="7dd841e2-5d0b-47ff-a7fc-98fe643dc7e8">
          <x15:oledbPr connection="Provider=Microsoft.Mashup.OleDb.1;Data Source=$Workbook$;Location=&quot;Table009 (Page 5)&quot;;Extended Properties=&quot;&quot;">
            <x15:dbTables>
              <x15:dbTable name="Table009 (Page 5)"/>
            </x15:dbTables>
          </x15:oledbPr>
        </x15:connection>
      </ext>
    </extLst>
  </connection>
  <connection id="15" xr16:uid="{8B023195-3CA8-4A94-A453-0F5DE95FC36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<sst xmlns="http://schemas.openxmlformats.org/spreadsheetml/2006/main" count="808" uniqueCount="458">
  <si>
    <t>Patient Assessment Information</t>
  </si>
  <si>
    <t>Patient ID:</t>
  </si>
  <si>
    <t>Date of Assessment:</t>
  </si>
  <si>
    <t>Notes:</t>
  </si>
  <si>
    <t>Box and Blocks Test</t>
  </si>
  <si>
    <t>Date:</t>
  </si>
  <si>
    <t>Right</t>
  </si>
  <si>
    <t>Scoring:</t>
  </si>
  <si>
    <t>Date</t>
  </si>
  <si>
    <t>Hand</t>
  </si>
  <si>
    <t>Trial Type</t>
  </si>
  <si>
    <t>Score (# of blocks)</t>
  </si>
  <si>
    <t>Notes</t>
  </si>
  <si>
    <t>Left</t>
  </si>
  <si>
    <t>Affected Limb:</t>
  </si>
  <si>
    <t>Activity Scale Key</t>
  </si>
  <si>
    <t>Total assist (weak U/L &lt; 25%)</t>
  </si>
  <si>
    <t>Maximal assist (weak U/L = 25-49%)</t>
  </si>
  <si>
    <t>Moderate assist (weak U/L = 50-74%)</t>
  </si>
  <si>
    <t>Minimal assist (weak U/L &gt; 75%)</t>
  </si>
  <si>
    <t>Supervision</t>
  </si>
  <si>
    <t>Modified independence (device)</t>
  </si>
  <si>
    <t>Complete independence (timely, safely)</t>
  </si>
  <si>
    <t>#</t>
  </si>
  <si>
    <t>Task</t>
  </si>
  <si>
    <t>Role of Affected Arm</t>
  </si>
  <si>
    <t>Score (1-7)</t>
  </si>
  <si>
    <t>Comments</t>
  </si>
  <si>
    <t>Open jar of coffee</t>
  </si>
  <si>
    <t>Call 911</t>
  </si>
  <si>
    <t>Draw a line with a ruler</t>
  </si>
  <si>
    <t>Pour a glass of water</t>
  </si>
  <si>
    <t>Wring out washcloth</t>
  </si>
  <si>
    <t>Bilateral Task</t>
  </si>
  <si>
    <t>Do up five buttons</t>
  </si>
  <si>
    <t>Dry back with towel</t>
  </si>
  <si>
    <t>Put toothpaste on toothbrush</t>
  </si>
  <si>
    <t>Cut medium resistance putty</t>
  </si>
  <si>
    <t>Zip up the zipper</t>
  </si>
  <si>
    <t>Clean a pair of eyeglasses</t>
  </si>
  <si>
    <t>Place container on table</t>
  </si>
  <si>
    <t>Unilateral Task</t>
  </si>
  <si>
    <t>Carry bag upstairs</t>
  </si>
  <si>
    <t>Total Score (out of 91):</t>
  </si>
  <si>
    <t>Stroke Impact Scale (SIS) v3.0</t>
  </si>
  <si>
    <t>Instructions:</t>
  </si>
  <si>
    <t>This scale measures health status following a stroke. The final item asks the patient to rate his or her perceived recovery on a scale of 0 to 100.</t>
  </si>
  <si>
    <t>Description</t>
  </si>
  <si>
    <t>Canadian Occupational Performance Measure (COPM)</t>
  </si>
  <si>
    <t>Side Assessed:</t>
  </si>
  <si>
    <t>0 = Cannot perform</t>
  </si>
  <si>
    <t>1 = Performs partially</t>
  </si>
  <si>
    <t>2 = Performs fully</t>
  </si>
  <si>
    <t>Section</t>
  </si>
  <si>
    <t>Item</t>
  </si>
  <si>
    <t>Max Score: 66</t>
  </si>
  <si>
    <t>Hand to lumbar spine</t>
  </si>
  <si>
    <t>TOTAL SCORE:</t>
  </si>
  <si>
    <t>Modified Ashworth Scale</t>
  </si>
  <si>
    <t>No increase in muscle tone</t>
  </si>
  <si>
    <t>Slight increase in tone (catch and release or minimal resistance at end of ROM)</t>
  </si>
  <si>
    <t>1+</t>
  </si>
  <si>
    <t>Slight increase in tone (catch, followed by minimal resistance through &lt; half of ROM)</t>
  </si>
  <si>
    <t>More marked increase in tone through most of the ROM, but affected part(s) easily moved</t>
  </si>
  <si>
    <t>Considerable increase in tone, passive movement difficult</t>
  </si>
  <si>
    <t>Affected part(s) rigid in flexion or extension</t>
  </si>
  <si>
    <t>Joint</t>
  </si>
  <si>
    <t>Muscle Group</t>
  </si>
  <si>
    <t>Shoulder</t>
  </si>
  <si>
    <t>Elbow</t>
  </si>
  <si>
    <t>Wrist</t>
  </si>
  <si>
    <t>Wrist Flexors</t>
  </si>
  <si>
    <t>Fingers</t>
  </si>
  <si>
    <t>Finger Flexors</t>
  </si>
  <si>
    <t>Lorem Ipsum</t>
  </si>
  <si>
    <t>The score is the number of blocks transported in one minute. There are 150 blocks.</t>
  </si>
  <si>
    <t>https://uofu.app.box.com/file/1971344564741</t>
  </si>
  <si>
    <t>https://uofu.app.box.com/file/1971345419750</t>
  </si>
  <si>
    <t xml:space="preserve">Full Manual: </t>
  </si>
  <si>
    <t>https://uofu.app.box.com/file/1971346843081</t>
  </si>
  <si>
    <t>Fugl-Meyer Assessment - Upper Extremity (FMA-UE)</t>
  </si>
  <si>
    <t>https://uofu.app.box.com/file/1968584627441</t>
  </si>
  <si>
    <t>MAS Score</t>
  </si>
  <si>
    <t>I. REFLEX ACTIVITY</t>
  </si>
  <si>
    <t>III. SYNERGISTIC MOVMENT: EXTENSOR SYNERGY</t>
  </si>
  <si>
    <t>II. SYNERGISTIC MOVMENT: FLEXOR SYNERGY</t>
  </si>
  <si>
    <t>A1</t>
  </si>
  <si>
    <t>A2</t>
  </si>
  <si>
    <t>A3</t>
  </si>
  <si>
    <t>A4</t>
  </si>
  <si>
    <t>A5</t>
  </si>
  <si>
    <t>A6</t>
  </si>
  <si>
    <t>A7</t>
  </si>
  <si>
    <t>A8</t>
  </si>
  <si>
    <t>A9</t>
  </si>
  <si>
    <t>A10</t>
  </si>
  <si>
    <t>A15</t>
  </si>
  <si>
    <t>A16</t>
  </si>
  <si>
    <t>A17</t>
  </si>
  <si>
    <t>A12</t>
  </si>
  <si>
    <t>A13</t>
  </si>
  <si>
    <t>A14</t>
  </si>
  <si>
    <t>V: MOVEMENT OUT OF SYNERGY</t>
  </si>
  <si>
    <t>IV: MOVEMENT COMBINING SYNERGY</t>
  </si>
  <si>
    <t>VI. NORMAL REFLEX ACTIVITY</t>
  </si>
  <si>
    <t>A18</t>
  </si>
  <si>
    <t>VII. WRIST</t>
  </si>
  <si>
    <t>B1</t>
  </si>
  <si>
    <t>Check Score</t>
  </si>
  <si>
    <t>B2</t>
  </si>
  <si>
    <t>B3</t>
  </si>
  <si>
    <t>B4</t>
  </si>
  <si>
    <t>B5</t>
  </si>
  <si>
    <t>VIII. HAND</t>
  </si>
  <si>
    <t>C1</t>
  </si>
  <si>
    <t>C2</t>
  </si>
  <si>
    <t>C3</t>
  </si>
  <si>
    <t>C4</t>
  </si>
  <si>
    <t>C5</t>
  </si>
  <si>
    <t>C6</t>
  </si>
  <si>
    <t>C7</t>
  </si>
  <si>
    <t>IX. COORDINATION / SPEED</t>
  </si>
  <si>
    <t>D1</t>
  </si>
  <si>
    <t>D2</t>
  </si>
  <si>
    <t>D3</t>
  </si>
  <si>
    <t>No Reflex</t>
  </si>
  <si>
    <t>Reflex Elicitable</t>
  </si>
  <si>
    <t>No Visible or Palpable Retraction</t>
  </si>
  <si>
    <t>Score Option</t>
  </si>
  <si>
    <t>Partly Done</t>
  </si>
  <si>
    <t>Faultless</t>
  </si>
  <si>
    <t>Not done at all</t>
  </si>
  <si>
    <t>Partly done, &gt;= IP joint actively passes the anterior superior iliac spine</t>
  </si>
  <si>
    <t>Not done at all, or Shoulder and elbow can't achieve start position</t>
  </si>
  <si>
    <t>Partly Done, or shoulder abduction or elbow flexion occurs during movement</t>
  </si>
  <si>
    <t>Not done at all, or shoulder and elbow cant achieve start position</t>
  </si>
  <si>
    <t>Partly done, any pronation or supination in correct positon</t>
  </si>
  <si>
    <t>Not done at all, or elbow flexion or supination occurs at start of movement</t>
  </si>
  <si>
    <t>Partly done, or elbow flexion or forearm supination occurs during movement</t>
  </si>
  <si>
    <t>Not done at all, or shoulder abduction or elbow flexion occurs at start of movement</t>
  </si>
  <si>
    <t>X</t>
  </si>
  <si>
    <t>Not done because full scores were not achived for items 15, 16, 17. WebDCU will not allow you to enter a score unless the last 3 tests sum to 6/6.</t>
  </si>
  <si>
    <t>&gt;= 2 reflexes are markedly hyperactive</t>
  </si>
  <si>
    <t>1 reflex is markedly hyperactive or &gt;= 2 reflexes are lively</t>
  </si>
  <si>
    <t>All 3 reflexes are present and none are hyperactive</t>
  </si>
  <si>
    <t>Can’t achieve starting position or can’t extend wrist to 15°</t>
  </si>
  <si>
    <t>Not done at all or can’t achieve starting position</t>
  </si>
  <si>
    <t>Partly done, active range of motion is less than passive range of motion</t>
  </si>
  <si>
    <t>Can extend wrist to 15° but not against resistance, or elbow flexion or forearm supination occurs during movement or resistance</t>
  </si>
  <si>
    <t>Can't extent wrist to  15° , or shoulder and elbow can't maintain start positon</t>
  </si>
  <si>
    <t>Not done or can't achieve starting position</t>
  </si>
  <si>
    <t>Partly done, active range of motion is less than passive range of motion, or elboew flexes during movement</t>
  </si>
  <si>
    <t>Faultless and smooth through one full cycle</t>
  </si>
  <si>
    <t>Not done at all or can't achieve starting position</t>
  </si>
  <si>
    <t>Partly done, jerky or incomplete circumduction, or elboew flexes during movement</t>
  </si>
  <si>
    <t>Faultless and smooth</t>
  </si>
  <si>
    <t>Parly done but not full active flexion</t>
  </si>
  <si>
    <t>Full active flexion</t>
  </si>
  <si>
    <t>Partly done, can release active mass flexion grasp and cannot fully extend</t>
  </si>
  <si>
    <t>Full active extension</t>
  </si>
  <si>
    <t>Cannot achieve grasp position</t>
  </si>
  <si>
    <t>Weak grasp</t>
  </si>
  <si>
    <t>Grasp maintained against great resistance</t>
  </si>
  <si>
    <t>Weak grasp, paper kept in correct place between thumb and 2nd MCP, but not against slight tug</t>
  </si>
  <si>
    <t>Paper held well against tug</t>
  </si>
  <si>
    <t>Paper kept in place between pads of thumb and index finger, but not against a slight tug</t>
  </si>
  <si>
    <t>Pencil held well against a tug</t>
  </si>
  <si>
    <t>Cylinder kept in place between thumb and index finger, but not against a slight tug</t>
  </si>
  <si>
    <t>Cylinder held well against a tug</t>
  </si>
  <si>
    <t>Ball kept in place between all fingers, but not against a slight tug</t>
  </si>
  <si>
    <t>Ball held well against a tug</t>
  </si>
  <si>
    <t>Marked tremor</t>
  </si>
  <si>
    <t>Slight tremor</t>
  </si>
  <si>
    <t>No tremor</t>
  </si>
  <si>
    <t>Pronounced or unsystematic dysmetria</t>
  </si>
  <si>
    <t>Slight or systematic dysmetria</t>
  </si>
  <si>
    <t>No dysmetria</t>
  </si>
  <si>
    <t>Affected hand 6.00 seconds or more slower than the unaffected side, or unable to complete task</t>
  </si>
  <si>
    <t>Affected hand between 2.00 - 5.99 seconds slower than the unaffected side</t>
  </si>
  <si>
    <t>Affected hand less than 2.00 seconds slower than the unaffected side</t>
  </si>
  <si>
    <t>Flexors: Biceps or finger reflex</t>
  </si>
  <si>
    <t>Extensors: Triceps reflex</t>
  </si>
  <si>
    <t>Shoulder girdle retraction</t>
  </si>
  <si>
    <t>Shoulder girdle elevation</t>
  </si>
  <si>
    <t>Shoulder abduction</t>
  </si>
  <si>
    <t>Shoulder external rotation</t>
  </si>
  <si>
    <t>Elbow Flexion</t>
  </si>
  <si>
    <t>Forearm supination</t>
  </si>
  <si>
    <t>Shoulder adduction / internal rotation</t>
  </si>
  <si>
    <t>Elbow Extension</t>
  </si>
  <si>
    <t>A11</t>
  </si>
  <si>
    <t>Forearm pronation</t>
  </si>
  <si>
    <t>Shoulder flexion 0-90°, elbow straight</t>
  </si>
  <si>
    <t>Forearm pronation/supination with elbow actively flexed 90°, shoulder at 0°</t>
  </si>
  <si>
    <t>Abduction shoulder to 90°, elbow straight, forearm pronated</t>
  </si>
  <si>
    <t>Shoulder flextion 90°-180°, elbow straight, shoulder flexed 30-90°</t>
  </si>
  <si>
    <t>Forearm pronation/supination , elbow straight, shoulder flexed 30-90°</t>
  </si>
  <si>
    <t>Wrist stability, elbow at 90°</t>
  </si>
  <si>
    <t>Wrist range of motion, repeated alternating wrist flexion/extension, elbow at 90°</t>
  </si>
  <si>
    <t>Wrist stability, elbow straight, shoulder at 30-90°</t>
  </si>
  <si>
    <t>Wrist range of motion, repeated alternating wrist flexion/extension, elbow straight, shoulder at 30-90°</t>
  </si>
  <si>
    <t>Wrist circumduction, elbow straight, shoulder at 30-90°</t>
  </si>
  <si>
    <t>Fingers mass flexion</t>
  </si>
  <si>
    <t>Finger mass extension</t>
  </si>
  <si>
    <t>Grasp A: 5-finger Claw Grasp (Hook Grasp)</t>
  </si>
  <si>
    <t>Grasp B: Thumb Adduction Grasp</t>
  </si>
  <si>
    <t>Grasp C: Grasp Pencil (Pincer Grasp)</t>
  </si>
  <si>
    <t>Grasp D: Grasp Cylinder</t>
  </si>
  <si>
    <t>Grasp E: Grasp a Tennis Ball (Spherical Grasp)</t>
  </si>
  <si>
    <t>Tremor</t>
  </si>
  <si>
    <t>Dysmetria</t>
  </si>
  <si>
    <t>Speed</t>
  </si>
  <si>
    <t>Biceps, triceps, and finger flexor tendon reflexes evaluated ONLY IF full scores achieved for items A15, A16, and A17</t>
  </si>
  <si>
    <t>Score Value (0 - 2)</t>
  </si>
  <si>
    <t>1. In the past week, how would
you rate the strength of your....</t>
  </si>
  <si>
    <t>a. Arm that was most affected by your stroke?</t>
  </si>
  <si>
    <t>b. Grip of your hand that was most affected by your stroke?</t>
  </si>
  <si>
    <t>c. Leg that was most affected by your stroke?</t>
  </si>
  <si>
    <t>d. Foot/ankle that was most affected by your stroke?</t>
  </si>
  <si>
    <t>A lot of strength</t>
  </si>
  <si>
    <t>Quite a bit of strength</t>
  </si>
  <si>
    <t>Some strength</t>
  </si>
  <si>
    <t>A little strength</t>
  </si>
  <si>
    <t>No strength at all</t>
  </si>
  <si>
    <t>Score</t>
  </si>
  <si>
    <t>2. In the past week, how difficult was it for you to...</t>
  </si>
  <si>
    <t>Not difficult at all</t>
  </si>
  <si>
    <t>A little difficult</t>
  </si>
  <si>
    <t>Somewhat difficult</t>
  </si>
  <si>
    <t>Very difficult</t>
  </si>
  <si>
    <t>Extremely difficult</t>
  </si>
  <si>
    <t>a. Remember things that people just
told you?</t>
  </si>
  <si>
    <t>b. Remember things that happened the
day before?</t>
  </si>
  <si>
    <t>c. Remember to do things (e.g. keep
scheduled appointments or take
medication)?</t>
  </si>
  <si>
    <t>d. Remember the day of the week?</t>
  </si>
  <si>
    <t>e. Concentrate?</t>
  </si>
  <si>
    <t>f. Think quickly?</t>
  </si>
  <si>
    <t>g. Solve everyday problems?</t>
  </si>
  <si>
    <t>3. In the past week, how often did you...</t>
  </si>
  <si>
    <t>None of the time</t>
  </si>
  <si>
    <t>A little of the time</t>
  </si>
  <si>
    <t>Some of the time</t>
  </si>
  <si>
    <t>Most of the time</t>
  </si>
  <si>
    <t>All of the time</t>
  </si>
  <si>
    <t>a. Feel sad?</t>
  </si>
  <si>
    <t>b. Feel that there is nobody you are
close to?</t>
  </si>
  <si>
    <t>c. Feel that you are a burden to others?</t>
  </si>
  <si>
    <t>d. Feel that you have nothing to look
forward to?</t>
  </si>
  <si>
    <t>e. Blame yourself for mistakes that
you made?</t>
  </si>
  <si>
    <t>f. Enjoy things as much as ever?</t>
  </si>
  <si>
    <t>g. Feel quite nervous?</t>
  </si>
  <si>
    <t>h. Feel that life is worth living?</t>
  </si>
  <si>
    <t>i. Smile and laugh at least once a day?</t>
  </si>
  <si>
    <t>4. In the past week, how difficult was it to...</t>
  </si>
  <si>
    <t>a. Say the name of someone who was
in front of you?</t>
  </si>
  <si>
    <t>b. Understand what was being said to
you in a conversation?</t>
  </si>
  <si>
    <t>c. Reply to questions?</t>
  </si>
  <si>
    <t>d. Correctly name objects?</t>
  </si>
  <si>
    <t>e. Participate in a conversation with a
group of people?</t>
  </si>
  <si>
    <t>f. Have a conversation on the
telephone?</t>
  </si>
  <si>
    <t>g. Call another person on the
telephone, including selecting the
correct phone number and dialing?</t>
  </si>
  <si>
    <t>5. In the past 2 weeks, how difficult
was it to...</t>
  </si>
  <si>
    <t>Not difficult
at all</t>
  </si>
  <si>
    <t>A little
difficult</t>
  </si>
  <si>
    <t>a. Cut your food with a knife and fork?</t>
  </si>
  <si>
    <t>b. Dress the top part of your body?</t>
  </si>
  <si>
    <t>c. Bathe yourself?</t>
  </si>
  <si>
    <t>d. Clip your toenails?</t>
  </si>
  <si>
    <t>e. Get to the toilet on time?</t>
  </si>
  <si>
    <t>f. Control your bladder (not have an
accident)?</t>
  </si>
  <si>
    <t>g. Control your bowels (not have an
accident)?</t>
  </si>
  <si>
    <t>h. Do light household tasks/chores
(e.g. dust, make a bed, take out
garbage, do the dishes)?</t>
  </si>
  <si>
    <t>i. Go shopping?</t>
  </si>
  <si>
    <t>j. Do heavy household chores (e.g.
vacuum, laundry or yard work)?</t>
  </si>
  <si>
    <t>Could not do at all</t>
  </si>
  <si>
    <t>6. In the past 2 weeks, how difficult was it to...</t>
  </si>
  <si>
    <t>a. Stay sitting without losing your
balance?</t>
  </si>
  <si>
    <t>b. Stay standing without losing your
balance?</t>
  </si>
  <si>
    <t>c. Walk without losing your balance?</t>
  </si>
  <si>
    <t>d. Move from a bed to a chair?</t>
  </si>
  <si>
    <t>e. Walk one block?</t>
  </si>
  <si>
    <t>f. Walk fast?</t>
  </si>
  <si>
    <t>g. Climb one flight of stairs?</t>
  </si>
  <si>
    <t>h. Climb several flights of stairs?</t>
  </si>
  <si>
    <t>i. Get in and out of a car?</t>
  </si>
  <si>
    <t>7. In the past 2 weeks, how difficult was it to use your hand that was most affected by your stroke</t>
  </si>
  <si>
    <t>a. Carry heavy objects (e.g. bag of
groceries)?</t>
  </si>
  <si>
    <t>b. Turn a doorknob?</t>
  </si>
  <si>
    <t>c. Open a can or jar?</t>
  </si>
  <si>
    <t>d. Tie a shoe lace?</t>
  </si>
  <si>
    <t>e. Pick up a dime?</t>
  </si>
  <si>
    <t>8. During the past 4 weeks, how much of the time have you been limited in...</t>
  </si>
  <si>
    <t>a. Your work (paid, voluntary or other)</t>
  </si>
  <si>
    <t>b. Your social activities?</t>
  </si>
  <si>
    <t>c. Quiet recreation (crafts, reading)?</t>
  </si>
  <si>
    <t>d. Active recreation (sports, outings,
travel)?</t>
  </si>
  <si>
    <t>e. Your role as a family member
and/or friend?</t>
  </si>
  <si>
    <t>f. Your participation in spiritual or
religious activities?</t>
  </si>
  <si>
    <t>g. Your ability to control your life as
you wish?</t>
  </si>
  <si>
    <t>h. Your ability to help others?</t>
  </si>
  <si>
    <t>9. Self Reported Stroke Recovery Measure</t>
  </si>
  <si>
    <t>On a scale of 0 to 100, with 100 representing full recovery and 0 representing no recovery, how much have you recovered from your stroke?</t>
  </si>
  <si>
    <t>Initial Assessment</t>
  </si>
  <si>
    <t>Scoring</t>
  </si>
  <si>
    <t>Importance</t>
  </si>
  <si>
    <r>
      <t xml:space="preserve">Performance </t>
    </r>
    <r>
      <rPr>
        <b/>
        <sz val="10"/>
        <color rgb="FF000000"/>
        <rFont val="Arial"/>
        <family val="2"/>
        <scheme val="minor"/>
      </rPr>
      <t>T1</t>
    </r>
  </si>
  <si>
    <r>
      <t xml:space="preserve">Satisfaction </t>
    </r>
    <r>
      <rPr>
        <b/>
        <sz val="10"/>
        <color rgb="FF000000"/>
        <rFont val="Arial"/>
        <family val="2"/>
        <scheme val="minor"/>
      </rPr>
      <t>T1</t>
    </r>
  </si>
  <si>
    <r>
      <t xml:space="preserve">Performance </t>
    </r>
    <r>
      <rPr>
        <b/>
        <sz val="10"/>
        <color rgb="FF000000"/>
        <rFont val="Arial"/>
        <family val="2"/>
        <scheme val="minor"/>
      </rPr>
      <t>T2</t>
    </r>
  </si>
  <si>
    <r>
      <t xml:space="preserve">Satisfaction </t>
    </r>
    <r>
      <rPr>
        <b/>
        <sz val="10"/>
        <color rgb="FF000000"/>
        <rFont val="Arial"/>
        <family val="2"/>
        <scheme val="minor"/>
      </rPr>
      <t>T2</t>
    </r>
  </si>
  <si>
    <t>Change in Performance (T2-T1)</t>
  </si>
  <si>
    <t>Total Score</t>
  </si>
  <si>
    <t>Average Score</t>
  </si>
  <si>
    <t>Change in Performance (T2-T1)2</t>
  </si>
  <si>
    <t>MM/DD/YYYY</t>
  </si>
  <si>
    <t>Self Care</t>
  </si>
  <si>
    <t>Personal Care</t>
  </si>
  <si>
    <t>Functional Mobility</t>
  </si>
  <si>
    <t>Community Management</t>
  </si>
  <si>
    <t>Productivity</t>
  </si>
  <si>
    <t>Paid or Unpaid work</t>
  </si>
  <si>
    <t>Household Management</t>
  </si>
  <si>
    <t>School and / or play</t>
  </si>
  <si>
    <t>Leisure</t>
  </si>
  <si>
    <t>Quiet recreation</t>
  </si>
  <si>
    <t>Active Recreation</t>
  </si>
  <si>
    <t>Socialization</t>
  </si>
  <si>
    <t>Notes and Observations</t>
  </si>
  <si>
    <t>Re-assessment</t>
  </si>
  <si>
    <t>Ocupational Perfomance Problem (OPP)</t>
  </si>
  <si>
    <t>NA</t>
  </si>
  <si>
    <t>Standard 60s</t>
  </si>
  <si>
    <t>Affected Hand:</t>
  </si>
  <si>
    <t>holds jar</t>
  </si>
  <si>
    <t>General Comment</t>
  </si>
  <si>
    <t>holds receiver and dials phone</t>
  </si>
  <si>
    <t>holds ruler</t>
  </si>
  <si>
    <t>holds glass</t>
  </si>
  <si>
    <t>grasps towel end</t>
  </si>
  <si>
    <t>holds toothpaste</t>
  </si>
  <si>
    <t>holds fork</t>
  </si>
  <si>
    <t>holds zipper pull</t>
  </si>
  <si>
    <t>holds glasses</t>
  </si>
  <si>
    <t>/91</t>
  </si>
  <si>
    <t>Note: You can change the role using the dropdowns in each cell</t>
  </si>
  <si>
    <t>Task 1: Move Object to Mouth</t>
  </si>
  <si>
    <t>Component #</t>
  </si>
  <si>
    <t>Name</t>
  </si>
  <si>
    <t>Achieve?</t>
  </si>
  <si>
    <t>Time [sec]</t>
  </si>
  <si>
    <t>Starting Position</t>
  </si>
  <si>
    <t>Grasp</t>
  </si>
  <si>
    <t>Cut Pickle</t>
  </si>
  <si>
    <t>To Mouth</t>
  </si>
  <si>
    <t>Ending Position</t>
  </si>
  <si>
    <t>SUM</t>
  </si>
  <si>
    <t>Task 2: Hold Object in Space</t>
  </si>
  <si>
    <t>Lift Bag</t>
  </si>
  <si>
    <t>Task 3: Stablize Object</t>
  </si>
  <si>
    <t>Stabilize Bowl</t>
  </si>
  <si>
    <t>Task 4: Move Object (Towel) to New Location</t>
  </si>
  <si>
    <t>Move Towel</t>
  </si>
  <si>
    <t>Task 5: Water Bottle – Stabilize Object</t>
  </si>
  <si>
    <t>Task 6: Laundry Basket – Lift and Move Object to a new location</t>
  </si>
  <si>
    <t>Move Basket</t>
  </si>
  <si>
    <r>
      <t xml:space="preserve">For Section IX: Coordination / Speed, if the patient cannot complete D3 in the allotted time but </t>
    </r>
    <r>
      <rPr>
        <i/>
        <sz val="10"/>
        <color rgb="FF000000"/>
        <rFont val="Arial"/>
        <family val="2"/>
        <scheme val="minor"/>
      </rPr>
      <t>is</t>
    </r>
    <r>
      <rPr>
        <sz val="10"/>
        <color rgb="FF000000"/>
        <rFont val="Arial"/>
        <family val="2"/>
        <scheme val="minor"/>
      </rPr>
      <t xml:space="preserve"> capable of completing the task in a longer amount of time  - score D1 and D2 according to observations</t>
    </r>
  </si>
  <si>
    <t>Required</t>
  </si>
  <si>
    <t>Legend</t>
  </si>
  <si>
    <t>Optional</t>
  </si>
  <si>
    <r>
      <rPr>
        <b/>
        <sz val="10"/>
        <color rgb="FF000000"/>
        <rFont val="Arial"/>
        <family val="2"/>
        <scheme val="minor"/>
      </rPr>
      <t xml:space="preserve">Time 2: </t>
    </r>
    <r>
      <rPr>
        <sz val="10"/>
        <color rgb="FF000000"/>
        <rFont val="Arial"/>
        <family val="2"/>
        <scheme val="minor"/>
      </rPr>
      <t>Re-Assessment Date</t>
    </r>
  </si>
  <si>
    <r>
      <rPr>
        <b/>
        <sz val="10"/>
        <color theme="1"/>
        <rFont val="Arial"/>
        <family val="2"/>
        <scheme val="minor"/>
      </rPr>
      <t>Time 1:</t>
    </r>
    <r>
      <rPr>
        <sz val="10"/>
        <color theme="1"/>
        <rFont val="Arial"/>
        <family val="2"/>
        <scheme val="minor"/>
      </rPr>
      <t xml:space="preserve"> Initial Assessment Date </t>
    </r>
  </si>
  <si>
    <t>MMT Score</t>
  </si>
  <si>
    <t>AROM</t>
  </si>
  <si>
    <t>3/5</t>
  </si>
  <si>
    <t>5/5</t>
  </si>
  <si>
    <t>1/5</t>
  </si>
  <si>
    <t xml:space="preserve">Shoulder </t>
  </si>
  <si>
    <t>Abductors</t>
  </si>
  <si>
    <t>Extensors</t>
  </si>
  <si>
    <t>Wrist Extensors</t>
  </si>
  <si>
    <t>MAS Scoring Key:</t>
  </si>
  <si>
    <t xml:space="preserve">MMT Score Guide: </t>
  </si>
  <si>
    <t>2/5</t>
  </si>
  <si>
    <t>4/5</t>
  </si>
  <si>
    <t>AROM Scoring Key:</t>
  </si>
  <si>
    <t>#/5 or NA</t>
  </si>
  <si>
    <t>AROM in degrees OR NA</t>
  </si>
  <si>
    <r>
      <rPr>
        <b/>
        <i/>
        <sz val="10"/>
        <color rgb="FF000000"/>
        <rFont val="Arial"/>
        <family val="2"/>
        <scheme val="minor"/>
      </rPr>
      <t>Active Range of Motion</t>
    </r>
    <r>
      <rPr>
        <i/>
        <sz val="10"/>
        <color rgb="FF000000"/>
        <rFont val="Arial"/>
        <family val="2"/>
        <scheme val="minor"/>
      </rPr>
      <t xml:space="preserve">, measured in degrees as quantified using </t>
    </r>
    <r>
      <rPr>
        <b/>
        <i/>
        <sz val="10"/>
        <color rgb="FF000000"/>
        <rFont val="Arial"/>
        <family val="2"/>
        <scheme val="minor"/>
      </rPr>
      <t>goniometer</t>
    </r>
    <r>
      <rPr>
        <i/>
        <sz val="10"/>
        <color rgb="FF000000"/>
        <rFont val="Arial"/>
        <family val="2"/>
        <scheme val="minor"/>
      </rPr>
      <t>.</t>
    </r>
  </si>
  <si>
    <t xml:space="preserve">Full Form Template: </t>
  </si>
  <si>
    <t>Full Script</t>
  </si>
  <si>
    <t>https://uofu.app.box.com/file/1980825992620</t>
  </si>
  <si>
    <t>https://uofu.app.box.com/file/2004642799198</t>
  </si>
  <si>
    <t>Full Manual (Official)</t>
  </si>
  <si>
    <t>https://uofu.app.box.com/file/1989029623033</t>
  </si>
  <si>
    <t xml:space="preserve">Updated Manual: </t>
  </si>
  <si>
    <t>Mental Demand</t>
  </si>
  <si>
    <t>Physical Demand</t>
  </si>
  <si>
    <t>Temporal Demand</t>
  </si>
  <si>
    <t>Performance</t>
  </si>
  <si>
    <t>Effort</t>
  </si>
  <si>
    <t>Frustration</t>
  </si>
  <si>
    <t>Rate on a scale of 0-20</t>
  </si>
  <si>
    <t>NASA TASK LOAD INDEX Scoring (WITH MYOPRO)</t>
  </si>
  <si>
    <t>NASA TASK LOAD INDEX Scoring  (WITHOUT MYOPRO)</t>
  </si>
  <si>
    <t>Myomo Functional Tasks (WITH MYOPRO)</t>
  </si>
  <si>
    <t>Myomo Functional Tasks (WITHOUT MYOPRO)</t>
  </si>
  <si>
    <r>
      <t>Chedoke Arm and Hand Activity Inventory (CAHAI-13) (</t>
    </r>
    <r>
      <rPr>
        <b/>
        <sz val="10"/>
        <color theme="1"/>
        <rFont val="Arial"/>
        <family val="2"/>
        <scheme val="minor"/>
      </rPr>
      <t>WITHOUT MYOPRO)</t>
    </r>
  </si>
  <si>
    <t>Scoring Sheet (PDF):</t>
  </si>
  <si>
    <r>
      <t>Chedoke Arm and Hand Activity Inventory (CAHAI-13) (</t>
    </r>
    <r>
      <rPr>
        <b/>
        <sz val="10"/>
        <color theme="1"/>
        <rFont val="Arial"/>
        <family val="2"/>
        <scheme val="minor"/>
      </rPr>
      <t>WITH MYOPRO)</t>
    </r>
  </si>
  <si>
    <t>WITHOUT MYOPRO</t>
  </si>
  <si>
    <t>WITH MYOPRO</t>
  </si>
  <si>
    <t>Scaled</t>
  </si>
  <si>
    <t>Overall Scaled Score</t>
  </si>
  <si>
    <t>2nd Date of Assessment:</t>
  </si>
  <si>
    <t>##</t>
  </si>
  <si>
    <t>Affected Hand</t>
  </si>
  <si>
    <t>Flexors</t>
  </si>
  <si>
    <t>NT</t>
  </si>
  <si>
    <t>NA = Not Applicable</t>
  </si>
  <si>
    <t>NT = Not Tested</t>
  </si>
  <si>
    <t>WITH MyoPro</t>
  </si>
  <si>
    <t>WITHOUT MyoPro</t>
  </si>
  <si>
    <t>Included Assessments</t>
  </si>
  <si>
    <t>Excluded Assessments</t>
  </si>
  <si>
    <t>2_StrokeImpactScale</t>
  </si>
  <si>
    <t>3_COPM</t>
  </si>
  <si>
    <t>4_ModifiedAshworthScale</t>
  </si>
  <si>
    <t>6_box_and_blocks</t>
  </si>
  <si>
    <t>7a_MyomoTasks_WITHOUT_MYOPRO</t>
  </si>
  <si>
    <t>7b_MyomoTasks_WITH_MYOPRO</t>
  </si>
  <si>
    <t>8a_CAHAI_WITHOUT_MYOPRO</t>
  </si>
  <si>
    <t>8b_CAHAI_WITH_MYOPRO</t>
  </si>
  <si>
    <t>9a_NASA_TLX_WITHOUT_MYOPRO</t>
  </si>
  <si>
    <t>9b_NASA_TLX_WITH_MYOPRO</t>
  </si>
  <si>
    <t>Assessment_Phase</t>
  </si>
  <si>
    <t>baseline</t>
  </si>
  <si>
    <t>5_Fugl-Meyer</t>
  </si>
  <si>
    <t>0/5</t>
  </si>
  <si>
    <t>No Visible or palpable contraction</t>
  </si>
  <si>
    <t>Visible or palpable contraction (No ROM)</t>
  </si>
  <si>
    <t>Full ROM, gravity eliminated</t>
  </si>
  <si>
    <t>Full ROM against gravity</t>
  </si>
  <si>
    <t>Full ROM against gravity, moderate resistance</t>
  </si>
  <si>
    <t>Normal Maximal Resistance</t>
  </si>
  <si>
    <t>Assessment</t>
  </si>
  <si>
    <t>MAS / MMT / AROM</t>
  </si>
  <si>
    <t>Fugl-Meyer</t>
  </si>
  <si>
    <t>Stroke Impact Scale</t>
  </si>
  <si>
    <t>COPM</t>
  </si>
  <si>
    <t>Myomo Tasks W/O</t>
  </si>
  <si>
    <t>CAHAI (W/O)</t>
  </si>
  <si>
    <t>NASA TLX (W/O)</t>
  </si>
  <si>
    <t>CAHAI (W/)</t>
  </si>
  <si>
    <t>Myomo Tasks (W/)</t>
  </si>
  <si>
    <t>NASA TLX (W/)</t>
  </si>
  <si>
    <t>Comleted?</t>
  </si>
  <si>
    <t>No</t>
  </si>
  <si>
    <t>Patient Info / General Notes</t>
  </si>
  <si>
    <t>Other / Miscellaneous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</si>
</sst>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x14ac:knownFonts="1">
    <font>
      <sz val="10"/>
      <color rgb="FF000000"/>
      <name val="Arial"/>
      <scheme val="minor"/>
    </font>
    <font>
      <sz val="10"/>
      <color theme="1"/>
      <name val="Arial"/>
      <family val="2"/>
      <scheme val="minor"/>
    </font>
    <font>
      <b/>
      <sz val="10"/>
      <color theme="1"/>
      <name val="Arial"/>
      <family val="2"/>
      <scheme val="minor"/>
    </font>
    <font>
      <sz val="10"/>
      <color rgb="FF000000"/>
      <name val="Arial"/>
      <family val="2"/>
      <scheme val="minor"/>
    </font>
    <font>
      <sz val="8"/>
      <name val="Arial"/>
      <family val="2"/>
      <scheme val="minor"/>
    </font>
    <font>
      <i/>
      <sz val="10"/>
      <color rgb="FF000000"/>
      <name val="Arial"/>
      <family val="2"/>
      <scheme val="minor"/>
    </font>
    <font>
      <i/>
      <sz val="10"/>
      <color theme="1"/>
      <name val="Arial"/>
      <family val="2"/>
      <scheme val="minor"/>
    </font>
    <font>
      <b/>
      <i/>
      <sz val="10"/>
      <color theme="1"/>
      <name val="Arial"/>
      <family val="2"/>
      <scheme val="minor"/>
    </font>
    <font>
      <b/>
      <sz val="10"/>
      <color theme="0"/>
      <name val="Arial"/>
      <family val="2"/>
      <scheme val="minor"/>
    </font>
    <font>
      <u/>
      <sz val="10"/>
      <color theme="10"/>
      <name val="Arial"/>
      <family val="2"/>
      <scheme val="minor"/>
    </font>
    <font>
      <sz val="10"/>
      <color theme="1"/>
      <name val="Arial"/>
      <family val="2"/>
      <scheme val="minor"/>
    </font>
    <font>
      <b/>
      <sz val="10"/>
      <color rgb="FF000000"/>
      <name val="Arial"/>
      <family val="2"/>
      <scheme val="minor"/>
    </font>
    <font>
      <b/>
      <i/>
      <sz val="10"/>
      <color rgb="FF000000"/>
      <name val="Arial"/>
      <family val="2"/>
      <scheme val="minor"/>
    </font>
    <font>
      <b/>
      <sz val="12"/>
      <color rgb="FF000000"/>
      <name val="Arial"/>
      <family val="2"/>
    </font>
    <font>
      <sz val="12"/>
      <color rgb="FF000000"/>
      <name val="Arial"/>
      <family val="2"/>
    </font>
    <font>
      <sz val="12"/>
      <color rgb="FF000000"/>
      <name val="Aptos"/>
      <family val="2"/>
    </font>
    <font>
      <sz val="10"/>
      <color theme="1"/>
      <name val="Arial"/>
      <family val="2"/>
      <scheme val="minor"/>
    </font>
  </fonts>
  <fills count="15">
    <fill>
      <patternFill patternType="none"/>
    </fill>
    <fill>
      <patternFill patternType="gray125"/>
    </fill>
    <fill>
      <patternFill patternType="solid">
        <fgColor theme="2" tint="-4.9989318521683403E-2"/>
        <bgColor indexed="64"/>
      </patternFill>
    </fill>
    <fill>
      <patternFill patternType="solid">
        <fgColor theme="0"/>
        <bgColor indexed="64"/>
      </patternFill>
    </fill>
    <fill>
      <patternFill patternType="solid">
        <fgColor theme="2" tint="-0.14999847407452621"/>
        <bgColor indexed="64"/>
      </patternFill>
    </fill>
    <fill>
      <patternFill patternType="solid">
        <fgColor theme="4" tint="0.59999389629810485"/>
        <bgColor indexed="64"/>
      </patternFill>
    </fill>
    <fill>
      <patternFill patternType="solid">
        <fgColor theme="0" tint="-0.14999847407452621"/>
        <bgColor theme="0" tint="-0.14999847407452621"/>
      </patternFill>
    </fill>
    <fill>
      <patternFill patternType="solid">
        <fgColor rgb="FFDDEBF7"/>
        <bgColor indexed="64"/>
      </patternFill>
    </fill>
    <fill>
      <patternFill patternType="solid">
        <fgColor rgb="FFDAE9F7"/>
        <bgColor indexed="64"/>
      </patternFill>
    </fill>
    <fill>
      <patternFill patternType="solid">
        <fgColor rgb="FFFFFFFF"/>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tint="-4.9989318521683403E-2"/>
        <bgColor indexed="64"/>
      </patternFill>
    </fill>
  </fills>
  <borders count="49">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right/>
      <top style="medium">
        <color indexed="64"/>
      </top>
      <bottom/>
      <diagonal/>
    </border>
    <border>
      <left/>
      <right/>
      <top/>
      <bottom style="medium">
        <color indexed="64"/>
      </bottom>
      <diagonal/>
    </border>
    <border>
      <left style="medium">
        <color indexed="64"/>
      </left>
      <right/>
      <top/>
      <bottom/>
      <diagonal/>
    </border>
    <border>
      <left/>
      <right/>
      <top style="thin">
        <color theme="1"/>
      </top>
      <bottom style="thin">
        <color theme="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auto="1"/>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s>
  <cellStyleXfs count="2">
    <xf numFmtId="0" fontId="0" fillId="0" borderId="0"/>
    <xf numFmtId="0" fontId="9" fillId="0" borderId="0" applyNumberFormat="0" applyFill="0" applyBorder="0" applyAlignment="0" applyProtection="0"/>
  </cellStyleXfs>
  <cellXfs count="207">
    <xf numFmtId="0" fontId="0" fillId="0" borderId="0" xfId="0"/>
    <xf numFmtId="0" fontId="1" fillId="0" borderId="0" xfId="0" applyFont="1"/>
    <xf numFmtId="0" fontId="2" fillId="0" borderId="0" xfId="0" applyFont="1"/>
    <xf numFmtId="0" fontId="1" fillId="0" borderId="0" xfId="0" applyFont="1" applyAlignment="1">
      <alignment vertical="top" wrapText="1"/>
    </xf>
    <xf numFmtId="0" fontId="1" fillId="0" borderId="0" xfId="0" applyFont="1" applyAlignment="1">
      <alignment vertical="top"/>
    </xf>
    <xf numFmtId="0" fontId="1" fillId="0" borderId="1" xfId="0" applyFont="1" applyBorder="1"/>
    <xf numFmtId="0" fontId="0" fillId="0" borderId="1" xfId="0" applyBorder="1"/>
    <xf numFmtId="0" fontId="1" fillId="0" borderId="3" xfId="0" applyFont="1" applyBorder="1"/>
    <xf numFmtId="0" fontId="1" fillId="0" borderId="4" xfId="0" applyFont="1" applyBorder="1"/>
    <xf numFmtId="0" fontId="5" fillId="0" borderId="0" xfId="0" applyFont="1"/>
    <xf numFmtId="0" fontId="1" fillId="0" borderId="7" xfId="0" applyFont="1" applyBorder="1"/>
    <xf numFmtId="0" fontId="1" fillId="0" borderId="8" xfId="0" applyFont="1" applyBorder="1"/>
    <xf numFmtId="0" fontId="1" fillId="2" borderId="6" xfId="0" applyFont="1" applyFill="1" applyBorder="1"/>
    <xf numFmtId="0" fontId="1" fillId="2" borderId="7" xfId="0" applyFont="1" applyFill="1" applyBorder="1"/>
    <xf numFmtId="0" fontId="1" fillId="2" borderId="8" xfId="0" applyFont="1" applyFill="1" applyBorder="1"/>
    <xf numFmtId="0" fontId="7" fillId="2" borderId="2" xfId="0" applyFont="1" applyFill="1" applyBorder="1"/>
    <xf numFmtId="0" fontId="1" fillId="0" borderId="9" xfId="0" applyFont="1" applyBorder="1"/>
    <xf numFmtId="0" fontId="0" fillId="0" borderId="11" xfId="0" applyBorder="1"/>
    <xf numFmtId="0" fontId="1" fillId="0" borderId="13" xfId="0" applyFont="1" applyBorder="1"/>
    <xf numFmtId="0" fontId="1" fillId="2" borderId="15" xfId="0" applyFont="1" applyFill="1" applyBorder="1"/>
    <xf numFmtId="0" fontId="0" fillId="2" borderId="16" xfId="0" applyFill="1" applyBorder="1"/>
    <xf numFmtId="0" fontId="1" fillId="2" borderId="17" xfId="0" applyFont="1" applyFill="1" applyBorder="1"/>
    <xf numFmtId="0" fontId="1" fillId="2" borderId="19" xfId="0" applyFont="1" applyFill="1" applyBorder="1"/>
    <xf numFmtId="0" fontId="1" fillId="2" borderId="17" xfId="0" applyFont="1" applyFill="1" applyBorder="1" applyAlignment="1">
      <alignment horizontal="right" vertical="top"/>
    </xf>
    <xf numFmtId="0" fontId="6" fillId="2" borderId="18" xfId="0" applyFont="1" applyFill="1" applyBorder="1"/>
    <xf numFmtId="0" fontId="6" fillId="2" borderId="20" xfId="0" applyFont="1" applyFill="1" applyBorder="1"/>
    <xf numFmtId="0" fontId="1" fillId="0" borderId="21" xfId="0" applyFont="1" applyBorder="1"/>
    <xf numFmtId="0" fontId="2" fillId="0" borderId="21" xfId="0" applyFont="1" applyBorder="1"/>
    <xf numFmtId="0" fontId="1" fillId="3" borderId="8" xfId="0" applyFont="1" applyFill="1" applyBorder="1"/>
    <xf numFmtId="0" fontId="7" fillId="0" borderId="0" xfId="0" applyFont="1"/>
    <xf numFmtId="0" fontId="8" fillId="0" borderId="0" xfId="0" applyFont="1"/>
    <xf numFmtId="0" fontId="1" fillId="0" borderId="5" xfId="0" applyFont="1" applyBorder="1"/>
    <xf numFmtId="0" fontId="6" fillId="0" borderId="0" xfId="0" applyFont="1"/>
    <xf numFmtId="0" fontId="0" fillId="4" borderId="11" xfId="0" applyFill="1" applyBorder="1"/>
    <xf numFmtId="0" fontId="1" fillId="4" borderId="30" xfId="0" applyFont="1" applyFill="1" applyBorder="1"/>
    <xf numFmtId="0" fontId="6" fillId="4" borderId="31" xfId="0" applyFont="1" applyFill="1" applyBorder="1"/>
    <xf numFmtId="0" fontId="1" fillId="4" borderId="29" xfId="0" applyFont="1" applyFill="1" applyBorder="1"/>
    <xf numFmtId="0" fontId="6" fillId="4" borderId="12" xfId="0" applyFont="1" applyFill="1" applyBorder="1"/>
    <xf numFmtId="0" fontId="1" fillId="4" borderId="28" xfId="0" applyFont="1" applyFill="1" applyBorder="1"/>
    <xf numFmtId="0" fontId="6" fillId="4" borderId="14" xfId="0" applyFont="1" applyFill="1" applyBorder="1"/>
    <xf numFmtId="0" fontId="2" fillId="4" borderId="10" xfId="0" applyFont="1" applyFill="1" applyBorder="1"/>
    <xf numFmtId="0" fontId="2" fillId="0" borderId="6" xfId="0" applyFont="1" applyBorder="1"/>
    <xf numFmtId="0" fontId="3" fillId="0" borderId="0" xfId="0" applyFont="1"/>
    <xf numFmtId="0" fontId="9" fillId="0" borderId="0" xfId="1"/>
    <xf numFmtId="0" fontId="0" fillId="0" borderId="0" xfId="0" applyAlignment="1">
      <alignment vertical="top" wrapText="1"/>
    </xf>
    <xf numFmtId="0" fontId="10" fillId="0" borderId="0" xfId="0" applyFont="1"/>
    <xf numFmtId="0" fontId="10" fillId="0" borderId="1" xfId="0" applyFont="1" applyBorder="1"/>
    <xf numFmtId="0" fontId="1" fillId="5" borderId="1" xfId="0" applyFont="1" applyFill="1" applyBorder="1"/>
    <xf numFmtId="0" fontId="0" fillId="5" borderId="1" xfId="0" applyFill="1" applyBorder="1"/>
    <xf numFmtId="0" fontId="2" fillId="5" borderId="1" xfId="0" applyFont="1" applyFill="1" applyBorder="1"/>
    <xf numFmtId="0" fontId="11" fillId="5" borderId="1" xfId="0" applyFont="1" applyFill="1" applyBorder="1"/>
    <xf numFmtId="0" fontId="0" fillId="0" borderId="21" xfId="0" applyBorder="1"/>
    <xf numFmtId="0" fontId="0" fillId="0" borderId="26" xfId="0" applyBorder="1"/>
    <xf numFmtId="0" fontId="1" fillId="0" borderId="26" xfId="0" applyFont="1" applyBorder="1"/>
    <xf numFmtId="0" fontId="2" fillId="5" borderId="1" xfId="0" applyFont="1" applyFill="1" applyBorder="1" applyAlignment="1">
      <alignment vertical="top" wrapText="1"/>
    </xf>
    <xf numFmtId="0" fontId="3" fillId="0" borderId="0" xfId="0" applyFont="1" applyAlignment="1">
      <alignment vertical="top" wrapText="1"/>
    </xf>
    <xf numFmtId="0" fontId="11" fillId="5" borderId="1" xfId="0" applyFont="1" applyFill="1" applyBorder="1" applyAlignment="1">
      <alignment vertical="top" wrapText="1"/>
    </xf>
    <xf numFmtId="0" fontId="10" fillId="0" borderId="1" xfId="0" applyFont="1" applyBorder="1" applyAlignment="1">
      <alignment horizontal="left" vertical="top" wrapText="1"/>
    </xf>
    <xf numFmtId="0" fontId="0" fillId="0" borderId="1" xfId="0" applyBorder="1" applyAlignment="1">
      <alignment horizontal="right" vertical="top"/>
    </xf>
    <xf numFmtId="0" fontId="10" fillId="0" borderId="26" xfId="0" applyFont="1" applyBorder="1"/>
    <xf numFmtId="0" fontId="0" fillId="5" borderId="23" xfId="0" applyFill="1" applyBorder="1"/>
    <xf numFmtId="0" fontId="0" fillId="0" borderId="23" xfId="0" applyBorder="1"/>
    <xf numFmtId="0" fontId="0" fillId="0" borderId="27" xfId="0" applyBorder="1"/>
    <xf numFmtId="0" fontId="11" fillId="5" borderId="23" xfId="0" applyFont="1" applyFill="1" applyBorder="1"/>
    <xf numFmtId="0" fontId="3" fillId="0" borderId="0" xfId="0" applyFont="1" applyAlignment="1">
      <alignment wrapText="1"/>
    </xf>
    <xf numFmtId="0" fontId="1" fillId="6" borderId="0" xfId="0" applyFont="1" applyFill="1"/>
    <xf numFmtId="0" fontId="2" fillId="0" borderId="35" xfId="0" applyFont="1" applyBorder="1"/>
    <xf numFmtId="0" fontId="11" fillId="0" borderId="4" xfId="0" applyFont="1" applyBorder="1"/>
    <xf numFmtId="0" fontId="12" fillId="0" borderId="0" xfId="0" applyFont="1"/>
    <xf numFmtId="0" fontId="3" fillId="0" borderId="0" xfId="0" applyFont="1" applyAlignment="1">
      <alignment vertical="top"/>
    </xf>
    <xf numFmtId="0" fontId="3" fillId="0" borderId="4" xfId="0" applyFont="1" applyBorder="1"/>
    <xf numFmtId="0" fontId="3" fillId="0" borderId="5" xfId="0" applyFont="1" applyBorder="1"/>
    <xf numFmtId="0" fontId="11" fillId="0" borderId="0" xfId="0" applyFont="1" applyAlignment="1">
      <alignment vertical="top" wrapText="1"/>
    </xf>
    <xf numFmtId="0" fontId="0" fillId="0" borderId="32" xfId="0" applyBorder="1"/>
    <xf numFmtId="0" fontId="11" fillId="0" borderId="0" xfId="0" applyFont="1"/>
    <xf numFmtId="0" fontId="13" fillId="0" borderId="6" xfId="0" applyFont="1" applyBorder="1" applyAlignment="1">
      <alignment vertical="center"/>
    </xf>
    <xf numFmtId="0" fontId="14" fillId="0" borderId="8" xfId="0" applyFont="1" applyBorder="1" applyAlignment="1">
      <alignment vertical="center"/>
    </xf>
    <xf numFmtId="0" fontId="14" fillId="0" borderId="13" xfId="0" applyFont="1" applyBorder="1" applyAlignment="1">
      <alignment vertical="center"/>
    </xf>
    <xf numFmtId="0" fontId="14" fillId="0" borderId="14" xfId="0" applyFont="1" applyBorder="1" applyAlignment="1">
      <alignment vertical="center"/>
    </xf>
    <xf numFmtId="0" fontId="14" fillId="0" borderId="14" xfId="0" applyFont="1" applyBorder="1" applyAlignment="1">
      <alignment horizontal="center" vertical="center"/>
    </xf>
    <xf numFmtId="0" fontId="14" fillId="7" borderId="34" xfId="0" applyFont="1" applyFill="1" applyBorder="1" applyAlignment="1">
      <alignment horizontal="right" vertical="center"/>
    </xf>
    <xf numFmtId="0" fontId="14" fillId="7" borderId="12" xfId="0" applyFont="1" applyFill="1" applyBorder="1" applyAlignment="1">
      <alignment vertical="center"/>
    </xf>
    <xf numFmtId="0" fontId="15" fillId="7" borderId="12" xfId="0" applyFont="1" applyFill="1" applyBorder="1"/>
    <xf numFmtId="2" fontId="15" fillId="7" borderId="12" xfId="0" applyNumberFormat="1" applyFont="1" applyFill="1" applyBorder="1"/>
    <xf numFmtId="0" fontId="14" fillId="0" borderId="34" xfId="0" applyFont="1" applyBorder="1" applyAlignment="1">
      <alignment horizontal="right" vertical="center"/>
    </xf>
    <xf numFmtId="0" fontId="14" fillId="0" borderId="12" xfId="0" applyFont="1" applyBorder="1" applyAlignment="1">
      <alignment vertical="center"/>
    </xf>
    <xf numFmtId="0" fontId="15" fillId="0" borderId="12" xfId="0" applyFont="1" applyBorder="1"/>
    <xf numFmtId="2" fontId="15" fillId="0" borderId="12" xfId="0" applyNumberFormat="1" applyFont="1" applyBorder="1"/>
    <xf numFmtId="0" fontId="14" fillId="0" borderId="12" xfId="0" applyFont="1" applyBorder="1" applyAlignment="1">
      <alignment horizontal="right" vertical="center"/>
    </xf>
    <xf numFmtId="2" fontId="14" fillId="0" borderId="12" xfId="0" applyNumberFormat="1" applyFont="1" applyBorder="1" applyAlignment="1">
      <alignment horizontal="right" vertical="center"/>
    </xf>
    <xf numFmtId="0" fontId="14" fillId="8" borderId="34" xfId="0" applyFont="1" applyFill="1" applyBorder="1" applyAlignment="1">
      <alignment horizontal="right" vertical="center"/>
    </xf>
    <xf numFmtId="0" fontId="14" fillId="8" borderId="12" xfId="0" applyFont="1" applyFill="1" applyBorder="1" applyAlignment="1">
      <alignment vertical="center"/>
    </xf>
    <xf numFmtId="0" fontId="15" fillId="8" borderId="12" xfId="0" applyFont="1" applyFill="1" applyBorder="1"/>
    <xf numFmtId="2" fontId="15" fillId="8" borderId="12" xfId="0" applyNumberFormat="1" applyFont="1" applyFill="1" applyBorder="1"/>
    <xf numFmtId="0" fontId="14" fillId="9" borderId="13" xfId="0" applyFont="1" applyFill="1" applyBorder="1" applyAlignment="1">
      <alignment vertical="center"/>
    </xf>
    <xf numFmtId="0" fontId="13" fillId="9" borderId="14" xfId="0" applyFont="1" applyFill="1" applyBorder="1" applyAlignment="1">
      <alignment vertical="center"/>
    </xf>
    <xf numFmtId="0" fontId="15" fillId="9" borderId="14" xfId="0" applyFont="1" applyFill="1" applyBorder="1"/>
    <xf numFmtId="0" fontId="14" fillId="8" borderId="13" xfId="0" applyFont="1" applyFill="1" applyBorder="1" applyAlignment="1">
      <alignment vertical="center"/>
    </xf>
    <xf numFmtId="0" fontId="13" fillId="8" borderId="14" xfId="0" applyFont="1" applyFill="1" applyBorder="1" applyAlignment="1">
      <alignment vertical="center"/>
    </xf>
    <xf numFmtId="0" fontId="15" fillId="8" borderId="14" xfId="0" applyFont="1" applyFill="1" applyBorder="1"/>
    <xf numFmtId="0" fontId="11" fillId="10" borderId="0" xfId="0" applyFont="1" applyFill="1"/>
    <xf numFmtId="0" fontId="11" fillId="11" borderId="0" xfId="0" applyFont="1" applyFill="1"/>
    <xf numFmtId="0" fontId="1" fillId="0" borderId="6" xfId="0" applyFont="1" applyBorder="1"/>
    <xf numFmtId="0" fontId="11" fillId="0" borderId="8" xfId="0" applyFont="1" applyBorder="1"/>
    <xf numFmtId="0" fontId="3" fillId="0" borderId="8" xfId="0" applyFont="1" applyBorder="1"/>
    <xf numFmtId="0" fontId="3" fillId="2" borderId="39" xfId="0" applyFont="1" applyFill="1" applyBorder="1"/>
    <xf numFmtId="0" fontId="0" fillId="2" borderId="39" xfId="0" applyFill="1" applyBorder="1"/>
    <xf numFmtId="0" fontId="3" fillId="2" borderId="15" xfId="0" applyFont="1" applyFill="1" applyBorder="1"/>
    <xf numFmtId="49" fontId="3" fillId="2" borderId="17" xfId="0" applyNumberFormat="1" applyFont="1" applyFill="1" applyBorder="1"/>
    <xf numFmtId="49" fontId="3" fillId="2" borderId="19" xfId="0" applyNumberFormat="1" applyFont="1" applyFill="1" applyBorder="1"/>
    <xf numFmtId="14" fontId="3" fillId="0" borderId="8" xfId="0" applyNumberFormat="1" applyFont="1" applyBorder="1"/>
    <xf numFmtId="0" fontId="11" fillId="12" borderId="41" xfId="0" applyFont="1" applyFill="1" applyBorder="1"/>
    <xf numFmtId="0" fontId="11" fillId="12" borderId="39" xfId="0" applyFont="1" applyFill="1" applyBorder="1"/>
    <xf numFmtId="0" fontId="0" fillId="12" borderId="40" xfId="0" applyFill="1" applyBorder="1"/>
    <xf numFmtId="0" fontId="3" fillId="0" borderId="10" xfId="0" applyFont="1" applyBorder="1" applyAlignment="1">
      <alignment vertical="top" wrapText="1"/>
    </xf>
    <xf numFmtId="0" fontId="1" fillId="0" borderId="10" xfId="0" applyFont="1" applyBorder="1" applyAlignment="1">
      <alignment vertical="top" wrapText="1"/>
    </xf>
    <xf numFmtId="0" fontId="3" fillId="0" borderId="11" xfId="0" applyFont="1" applyBorder="1"/>
    <xf numFmtId="0" fontId="6" fillId="0" borderId="0" xfId="0" applyFont="1" applyAlignment="1">
      <alignment vertical="top" wrapText="1"/>
    </xf>
    <xf numFmtId="0" fontId="1" fillId="0" borderId="10" xfId="0" applyFont="1" applyBorder="1"/>
    <xf numFmtId="0" fontId="16" fillId="0" borderId="21" xfId="0" applyFont="1" applyBorder="1" applyAlignment="1">
      <alignment horizontal="right" vertical="top"/>
    </xf>
    <xf numFmtId="49" fontId="1" fillId="0" borderId="21" xfId="0" applyNumberFormat="1" applyFont="1" applyBorder="1" applyAlignment="1">
      <alignment horizontal="right" vertical="top"/>
    </xf>
    <xf numFmtId="49" fontId="6" fillId="0" borderId="21" xfId="0" applyNumberFormat="1" applyFont="1" applyBorder="1" applyAlignment="1">
      <alignment vertical="top"/>
    </xf>
    <xf numFmtId="49" fontId="1" fillId="0" borderId="21" xfId="0" applyNumberFormat="1" applyFont="1" applyBorder="1" applyAlignment="1">
      <alignment vertical="top"/>
    </xf>
    <xf numFmtId="0" fontId="1" fillId="4" borderId="42" xfId="0" applyFont="1" applyFill="1" applyBorder="1"/>
    <xf numFmtId="0" fontId="1" fillId="4" borderId="43" xfId="0" applyFont="1" applyFill="1" applyBorder="1"/>
    <xf numFmtId="0" fontId="0" fillId="11" borderId="44" xfId="0" applyFill="1" applyBorder="1"/>
    <xf numFmtId="0" fontId="1" fillId="4" borderId="13" xfId="0" applyFont="1" applyFill="1" applyBorder="1"/>
    <xf numFmtId="0" fontId="0" fillId="11" borderId="14" xfId="0" applyFill="1" applyBorder="1"/>
    <xf numFmtId="0" fontId="0" fillId="10" borderId="45" xfId="0" applyFill="1" applyBorder="1"/>
    <xf numFmtId="0" fontId="1" fillId="4" borderId="46" xfId="0" applyFont="1" applyFill="1" applyBorder="1"/>
    <xf numFmtId="0" fontId="0" fillId="11" borderId="47" xfId="0" applyFill="1" applyBorder="1"/>
    <xf numFmtId="0" fontId="3" fillId="11" borderId="44" xfId="0" applyFont="1" applyFill="1" applyBorder="1"/>
    <xf numFmtId="0" fontId="3" fillId="2" borderId="18" xfId="0" applyFont="1" applyFill="1" applyBorder="1"/>
    <xf numFmtId="0" fontId="3" fillId="2" borderId="20" xfId="0" applyFont="1" applyFill="1" applyBorder="1"/>
    <xf numFmtId="0" fontId="11" fillId="13" borderId="41" xfId="0" applyFont="1" applyFill="1" applyBorder="1"/>
    <xf numFmtId="0" fontId="0" fillId="13" borderId="40" xfId="0" applyFill="1" applyBorder="1"/>
    <xf numFmtId="0" fontId="11" fillId="12" borderId="4" xfId="0" applyFont="1" applyFill="1" applyBorder="1"/>
    <xf numFmtId="0" fontId="0" fillId="12" borderId="0" xfId="0" applyFill="1"/>
    <xf numFmtId="0" fontId="13" fillId="14" borderId="6" xfId="0" applyFont="1" applyFill="1" applyBorder="1" applyAlignment="1">
      <alignment vertical="center"/>
    </xf>
    <xf numFmtId="0" fontId="14" fillId="14" borderId="8" xfId="0" applyFont="1" applyFill="1" applyBorder="1" applyAlignment="1">
      <alignment vertical="center"/>
    </xf>
    <xf numFmtId="0" fontId="14" fillId="14" borderId="13" xfId="0" applyFont="1" applyFill="1" applyBorder="1" applyAlignment="1">
      <alignment vertical="center"/>
    </xf>
    <xf numFmtId="0" fontId="14" fillId="14" borderId="14" xfId="0" applyFont="1" applyFill="1" applyBorder="1" applyAlignment="1">
      <alignment vertical="center"/>
    </xf>
    <xf numFmtId="0" fontId="14" fillId="14" borderId="14" xfId="0" applyFont="1" applyFill="1" applyBorder="1" applyAlignment="1">
      <alignment horizontal="center" vertical="center"/>
    </xf>
    <xf numFmtId="0" fontId="14" fillId="14" borderId="34" xfId="0" applyFont="1" applyFill="1" applyBorder="1" applyAlignment="1">
      <alignment horizontal="right" vertical="center"/>
    </xf>
    <xf numFmtId="0" fontId="14" fillId="14" borderId="12" xfId="0" applyFont="1" applyFill="1" applyBorder="1" applyAlignment="1">
      <alignment vertical="center"/>
    </xf>
    <xf numFmtId="0" fontId="15" fillId="14" borderId="12" xfId="0" applyFont="1" applyFill="1" applyBorder="1"/>
    <xf numFmtId="0" fontId="13" fillId="14" borderId="14" xfId="0" applyFont="1" applyFill="1" applyBorder="1" applyAlignment="1">
      <alignment vertical="center"/>
    </xf>
    <xf numFmtId="0" fontId="15" fillId="14" borderId="14" xfId="0" applyFont="1" applyFill="1" applyBorder="1"/>
    <xf numFmtId="0" fontId="0" fillId="14" borderId="34" xfId="0" applyFill="1" applyBorder="1"/>
    <xf numFmtId="0" fontId="0" fillId="14" borderId="0" xfId="0" applyFill="1"/>
    <xf numFmtId="0" fontId="0" fillId="14" borderId="12" xfId="0" applyFill="1" applyBorder="1"/>
    <xf numFmtId="0" fontId="13" fillId="14" borderId="39" xfId="0" applyFont="1" applyFill="1" applyBorder="1" applyAlignment="1">
      <alignment vertical="center"/>
    </xf>
    <xf numFmtId="0" fontId="14" fillId="14" borderId="40" xfId="0" applyFont="1" applyFill="1" applyBorder="1" applyAlignment="1">
      <alignment vertical="center"/>
    </xf>
    <xf numFmtId="0" fontId="14" fillId="14" borderId="48" xfId="0" applyFont="1" applyFill="1" applyBorder="1" applyAlignment="1">
      <alignment vertical="center"/>
    </xf>
    <xf numFmtId="0" fontId="13" fillId="14" borderId="40" xfId="0" applyFont="1" applyFill="1" applyBorder="1" applyAlignment="1">
      <alignment vertical="center"/>
    </xf>
    <xf numFmtId="0" fontId="0" fillId="14" borderId="14" xfId="0" applyFill="1" applyBorder="1"/>
    <xf numFmtId="0" fontId="0" fillId="0" borderId="0" xfId="0"/>
    <xf numFmtId="0" fontId="3" fillId="0" borderId="22" xfId="0" applyFont="1" applyBorder="1" applyAlignment="1">
      <alignment vertical="top" wrapText="1"/>
    </xf>
    <xf numFmtId="0" fontId="3" fillId="0" borderId="1" xfId="0" applyFont="1" applyBorder="1" applyAlignment="1">
      <alignment vertical="top" wrapText="1"/>
    </xf>
    <xf numFmtId="0" fontId="3" fillId="0" borderId="23" xfId="0" applyFont="1" applyBorder="1" applyAlignment="1">
      <alignment vertical="top" wrapText="1"/>
    </xf>
    <xf numFmtId="0" fontId="3" fillId="0" borderId="24" xfId="0" applyFont="1" applyBorder="1" applyAlignment="1">
      <alignment vertical="top" wrapText="1"/>
    </xf>
    <xf numFmtId="0" fontId="3" fillId="0" borderId="0" xfId="0" applyFont="1" applyAlignment="1">
      <alignment vertical="top" wrapText="1"/>
    </xf>
    <xf numFmtId="0" fontId="3" fillId="0" borderId="21" xfId="0" applyFont="1" applyBorder="1" applyAlignment="1">
      <alignment vertical="top" wrapText="1"/>
    </xf>
    <xf numFmtId="0" fontId="3" fillId="0" borderId="25" xfId="0" applyFont="1" applyBorder="1" applyAlignment="1">
      <alignment vertical="top" wrapText="1"/>
    </xf>
    <xf numFmtId="0" fontId="3" fillId="0" borderId="26" xfId="0" applyFont="1" applyBorder="1" applyAlignment="1">
      <alignment vertical="top" wrapText="1"/>
    </xf>
    <xf numFmtId="0" fontId="3" fillId="0" borderId="27" xfId="0" applyFont="1" applyBorder="1" applyAlignment="1">
      <alignment vertical="top" wrapText="1"/>
    </xf>
    <xf numFmtId="0" fontId="1" fillId="0" borderId="0" xfId="0" applyFont="1" applyAlignment="1">
      <alignment vertical="top" wrapText="1"/>
    </xf>
    <xf numFmtId="0" fontId="0" fillId="0" borderId="0" xfId="0" applyAlignment="1">
      <alignment vertical="top" wrapText="1"/>
    </xf>
    <xf numFmtId="0" fontId="1" fillId="0" borderId="0" xfId="0" applyFont="1"/>
    <xf numFmtId="0" fontId="0" fillId="0" borderId="10" xfId="0" applyBorder="1" applyAlignment="1">
      <alignment vertical="top" wrapText="1"/>
    </xf>
    <xf numFmtId="0" fontId="0" fillId="0" borderId="32" xfId="0" applyBorder="1" applyAlignment="1">
      <alignment vertical="top" wrapText="1"/>
    </xf>
    <xf numFmtId="0" fontId="0" fillId="0" borderId="11" xfId="0" applyBorder="1" applyAlignment="1">
      <alignment vertical="top" wrapText="1"/>
    </xf>
    <xf numFmtId="0" fontId="0" fillId="0" borderId="34" xfId="0" applyBorder="1" applyAlignment="1">
      <alignment vertical="top" wrapText="1"/>
    </xf>
    <xf numFmtId="0" fontId="0" fillId="0" borderId="12" xfId="0" applyBorder="1" applyAlignment="1">
      <alignment vertical="top" wrapText="1"/>
    </xf>
    <xf numFmtId="0" fontId="0" fillId="0" borderId="13" xfId="0" applyBorder="1" applyAlignment="1">
      <alignment vertical="top" wrapText="1"/>
    </xf>
    <xf numFmtId="0" fontId="0" fillId="0" borderId="33" xfId="0" applyBorder="1" applyAlignment="1">
      <alignment vertical="top" wrapText="1"/>
    </xf>
    <xf numFmtId="0" fontId="0" fillId="0" borderId="14" xfId="0" applyBorder="1" applyAlignment="1">
      <alignment vertical="top" wrapText="1"/>
    </xf>
    <xf numFmtId="0" fontId="3" fillId="0" borderId="34" xfId="0" applyFont="1" applyBorder="1" applyAlignment="1">
      <alignment vertical="top" wrapText="1"/>
    </xf>
    <xf numFmtId="0" fontId="3" fillId="0" borderId="13" xfId="0" applyFont="1" applyBorder="1" applyAlignment="1">
      <alignment vertical="top" wrapText="1"/>
    </xf>
    <xf numFmtId="0" fontId="11" fillId="0" borderId="10" xfId="0" applyFont="1" applyBorder="1"/>
    <xf numFmtId="0" fontId="0" fillId="0" borderId="32" xfId="0" applyBorder="1"/>
    <xf numFmtId="0" fontId="5" fillId="2" borderId="34" xfId="0" applyFont="1" applyFill="1" applyBorder="1" applyAlignment="1">
      <alignment vertical="top" wrapText="1"/>
    </xf>
    <xf numFmtId="0" fontId="5" fillId="2" borderId="12" xfId="0" applyFont="1" applyFill="1" applyBorder="1" applyAlignment="1">
      <alignment vertical="top" wrapText="1"/>
    </xf>
    <xf numFmtId="0" fontId="5" fillId="2" borderId="13" xfId="0" applyFont="1" applyFill="1" applyBorder="1" applyAlignment="1">
      <alignment vertical="top" wrapText="1"/>
    </xf>
    <xf numFmtId="0" fontId="5" fillId="2" borderId="14" xfId="0" applyFont="1" applyFill="1" applyBorder="1" applyAlignment="1">
      <alignment vertical="top" wrapText="1"/>
    </xf>
    <xf numFmtId="0" fontId="0" fillId="0" borderId="36" xfId="0" applyBorder="1"/>
    <xf numFmtId="0" fontId="0" fillId="0" borderId="38" xfId="0" applyBorder="1"/>
    <xf numFmtId="0" fontId="0" fillId="0" borderId="37" xfId="0" applyBorder="1"/>
    <xf numFmtId="0" fontId="3" fillId="0" borderId="10" xfId="0" applyFont="1" applyBorder="1" applyAlignment="1">
      <alignment vertical="top" wrapText="1"/>
    </xf>
    <xf numFmtId="0" fontId="0" fillId="0" borderId="1" xfId="0" applyBorder="1"/>
    <xf numFmtId="0" fontId="0" fillId="0" borderId="26" xfId="0" applyBorder="1"/>
    <xf numFmtId="0" fontId="0" fillId="0" borderId="26" xfId="0" applyBorder="1" applyAlignment="1">
      <alignment vertical="top" wrapText="1"/>
    </xf>
    <xf numFmtId="0" fontId="3" fillId="0" borderId="1" xfId="0" applyFont="1" applyBorder="1"/>
    <xf numFmtId="0" fontId="3" fillId="0" borderId="0" xfId="0" applyFont="1"/>
    <xf numFmtId="0" fontId="3" fillId="0" borderId="26" xfId="0" applyFont="1" applyBorder="1"/>
    <xf numFmtId="0" fontId="1" fillId="0" borderId="1" xfId="0" applyFont="1" applyBorder="1"/>
    <xf numFmtId="0" fontId="1" fillId="0" borderId="26" xfId="0" applyFont="1" applyBorder="1"/>
    <xf numFmtId="0" fontId="14" fillId="14" borderId="6" xfId="0" applyFont="1" applyFill="1" applyBorder="1" applyAlignment="1">
      <alignment horizontal="center" vertical="center"/>
    </xf>
    <xf numFmtId="0" fontId="14" fillId="14" borderId="8" xfId="0" applyFont="1" applyFill="1" applyBorder="1" applyAlignment="1">
      <alignment horizontal="center" vertical="center"/>
    </xf>
    <xf numFmtId="0" fontId="14" fillId="0" borderId="6" xfId="0" applyFont="1" applyBorder="1" applyAlignment="1">
      <alignment horizontal="center" vertical="center"/>
    </xf>
    <xf numFmtId="0" fontId="14" fillId="0" borderId="8" xfId="0" applyFont="1" applyBorder="1" applyAlignment="1">
      <alignment horizontal="center" vertical="center"/>
    </xf>
    <xf numFmtId="0" fontId="0" fillId="0" borderId="18" xfId="0" applyBorder="1"/>
    <xf numFmtId="0" fontId="0" fillId="0" borderId="20" xfId="0" applyBorder="1"/>
    <xf numFmtId="0" fontId="11" fillId="0" borderId="15" xfId="0" applyFont="1" applyBorder="1"/>
    <xf numFmtId="0" fontId="11" fillId="0" borderId="17" xfId="0" applyFont="1" applyBorder="1"/>
    <xf numFmtId="0" fontId="0" fillId="0" borderId="16" xfId="0" applyBorder="1"/>
    <xf numFmtId="0" fontId="11" fillId="0" borderId="19" xfId="0" applyFont="1" applyBorder="1"/>
  </cellXfs>
  <cellStyles count="2">
    <cellStyle name="Hyperlink" xfId="1" builtinId="8"/>
    <cellStyle name="Normal" xfId="0" builtinId="0"/>
  </cellStyles>
  <dxfs count="37">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rgb="FF000000"/>
        <name val="Arial"/>
        <scheme val="none"/>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rgb="FF000000"/>
        <name val="Arial"/>
        <family val="2"/>
        <scheme val="minor"/>
      </font>
    </dxf>
    <dxf>
      <font>
        <b/>
        <i val="0"/>
        <strike val="0"/>
        <condense val="0"/>
        <extend val="0"/>
        <outline val="0"/>
        <shadow val="0"/>
        <u val="none"/>
        <vertAlign val="baseline"/>
        <sz val="10"/>
        <color theme="0"/>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rgb="FF000000"/>
        <name val="Arial"/>
        <family val="2"/>
        <scheme val="minor"/>
      </font>
    </dxf>
    <dxf>
      <font>
        <b/>
        <i val="0"/>
        <strike val="0"/>
        <condense val="0"/>
        <extend val="0"/>
        <outline val="0"/>
        <shadow val="0"/>
        <u val="none"/>
        <vertAlign val="baseline"/>
        <sz val="10"/>
        <color theme="0"/>
        <name val="Arial"/>
        <family val="2"/>
        <scheme val="minor"/>
      </font>
    </dxf>
    <dxf>
      <font>
        <b val="0"/>
        <i/>
        <strike val="0"/>
        <condense val="0"/>
        <extend val="0"/>
        <outline val="0"/>
        <shadow val="0"/>
        <u val="none"/>
        <vertAlign val="baseline"/>
        <sz val="10"/>
        <color theme="1"/>
        <name val="Arial"/>
        <family val="2"/>
        <scheme val="minor"/>
      </font>
      <numFmt numFmtId="30" formatCode="@"/>
      <alignment horizontal="general" vertical="top" textRotation="0" wrapText="0" indent="0" justifyLastLine="0" shrinkToFit="0" readingOrder="0"/>
      <border diagonalUp="0" diagonalDown="0">
        <left/>
        <right style="thin">
          <color indexed="64"/>
        </right>
        <top/>
        <bottom/>
        <vertical/>
        <horizontal/>
      </border>
    </dxf>
    <dxf>
      <font>
        <color theme="1"/>
        <family val="2"/>
      </font>
      <numFmt numFmtId="30" formatCode="@"/>
      <alignment horizontal="right" vertical="top"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0"/>
        <color theme="1"/>
        <name val="Arial"/>
        <scheme val="minor"/>
      </font>
      <alignment horizontal="right" vertical="top"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0"/>
        <color theme="1"/>
        <name val="Arial"/>
        <family val="2"/>
        <scheme val="minor"/>
      </font>
      <border diagonalUp="0" diagonalDown="0">
        <left/>
        <right style="thin">
          <color indexed="64"/>
        </right>
        <top/>
        <bottom/>
        <vertical/>
        <horizontal/>
      </border>
    </dxf>
    <dxf>
      <font>
        <b val="0"/>
        <i val="0"/>
        <strike val="0"/>
        <condense val="0"/>
        <extend val="0"/>
        <outline val="0"/>
        <shadow val="0"/>
        <u val="none"/>
        <vertAlign val="baseline"/>
        <sz val="10"/>
        <color theme="1"/>
        <name val="Arial"/>
        <scheme val="minor"/>
      </font>
      <border diagonalUp="0" diagonalDown="0">
        <left/>
        <right style="thin">
          <color indexed="64"/>
        </right>
        <top/>
        <bottom/>
        <vertical/>
        <horizontal/>
      </border>
    </dxf>
    <dxf>
      <font>
        <b val="0"/>
        <i val="0"/>
        <strike val="0"/>
        <condense val="0"/>
        <extend val="0"/>
        <outline val="0"/>
        <shadow val="0"/>
        <u val="none"/>
        <vertAlign val="baseline"/>
        <sz val="10"/>
        <color theme="1"/>
        <name val="Arial"/>
        <scheme val="minor"/>
      </font>
    </dxf>
    <dxf>
      <font>
        <b/>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rgb="FF000000"/>
        <name val="Arial"/>
        <family val="2"/>
        <scheme val="minor"/>
      </font>
      <alignment horizontal="general" vertical="top" textRotation="0" indent="0" justifyLastLine="0" shrinkToFit="0" readingOrder="0"/>
    </dxf>
    <dxf>
      <font>
        <b val="0"/>
        <i val="0"/>
        <strike val="0"/>
        <condense val="0"/>
        <extend val="0"/>
        <outline val="0"/>
        <shadow val="0"/>
        <u val="none"/>
        <vertAlign val="baseline"/>
        <sz val="10"/>
        <color theme="1"/>
        <name val="Arial"/>
        <family val="2"/>
        <scheme val="minor"/>
      </font>
    </dxf>
    <dxf>
      <numFmt numFmtId="0" formatCode="General"/>
    </dxf>
    <dxf>
      <font>
        <b val="0"/>
        <i val="0"/>
        <strike val="0"/>
        <condense val="0"/>
        <extend val="0"/>
        <outline val="0"/>
        <shadow val="0"/>
        <u val="none"/>
        <vertAlign val="baseline"/>
        <sz val="10"/>
        <color theme="1"/>
        <name val="Arial"/>
        <family val="2"/>
        <scheme val="minor"/>
      </font>
      <fill>
        <patternFill patternType="solid">
          <fgColor theme="0" tint="-0.14999847407452621"/>
          <bgColor theme="0" tint="-0.1499984740745262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PivotTable Style 1" table="0" count="0" xr9:uid="{BE57F76F-A9E7-4E96-BA4E-663F265878A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Leonardo Ferrisi" id="{61586A66-B7FE-4B65-A591-147F5E33B510}" userId="37ccdf8f78214dc1" providerId="Windows Live"/>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7" xr16:uid="{EF4EF07A-1C04-404E-89EB-9089C9AD7E15}" autoFormatId="16" applyNumberFormats="0" applyBorderFormats="0" applyFontFormats="0" applyPatternFormats="0" applyAlignmentFormats="0" applyWidthHeightFormats="0">
  <queryTableRefresh nextId="8" unboundColumnsRight="1">
    <queryTableFields count="7">
      <queryTableField id="1" name="1. In the past week, how would_x000a_you rate the strength of your...." tableColumnId="1"/>
      <queryTableField id="2" name="A lot of_x000a_strength" tableColumnId="2"/>
      <queryTableField id="3" name="Quite a bit_x000a_of strength" tableColumnId="3"/>
      <queryTableField id="4" name="Some_x000a_strength" tableColumnId="4"/>
      <queryTableField id="5" name="A little_x000a_strength" tableColumnId="5"/>
      <queryTableField id="6" name="No_x000a_strength at_x000a_all" tableColumnId="6"/>
      <queryTableField id="7" dataBound="0"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A22D9B22-AB49-4F62-BB26-9D7E17078043}" autoFormatId="16" applyNumberFormats="0" applyBorderFormats="0" applyFontFormats="0" applyPatternFormats="0" applyAlignmentFormats="0" applyWidthHeightFormats="0">
  <queryTableRefresh nextId="8" unboundColumnsRight="1">
    <queryTableFields count="7">
      <queryTableField id="1" name="2. In the past week, how difficult was it for you to..." tableColumnId="1"/>
      <queryTableField id="2" name="Not difficult at all" tableColumnId="2"/>
      <queryTableField id="3" name="A little difficult" tableColumnId="3"/>
      <queryTableField id="4" name="Somewhat difficult" tableColumnId="4"/>
      <queryTableField id="5" name="Very difficult" tableColumnId="5"/>
      <queryTableField id="6" name="Extremely difficult" tableColumnId="6"/>
      <queryTableField id="7" dataBound="0" tableColumnId="7"/>
    </queryTableFields>
  </queryTableRefresh>
  <extLst>
    <ext xmlns:x15="http://schemas.microsoft.com/office/spreadsheetml/2010/11/main" uri="{883FBD77-0823-4a55-B5E3-86C4891E6966}">
      <x15:queryTable sourceDataName="Query - Table003 (Page 2)"/>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3903D31D-4FD0-48F1-A5C2-6E518196C910}" autoFormatId="16" applyNumberFormats="0" applyBorderFormats="0" applyFontFormats="0" applyPatternFormats="0" applyAlignmentFormats="0" applyWidthHeightFormats="0">
  <queryTableRefresh nextId="8" unboundColumnsRight="1">
    <queryTableFields count="7">
      <queryTableField id="1" name="3. In the past week, how often did you..." tableColumnId="1"/>
      <queryTableField id="2" name="None of the time" tableColumnId="2"/>
      <queryTableField id="3" name="A little of the time" tableColumnId="3"/>
      <queryTableField id="4" name="Some of the time" tableColumnId="4"/>
      <queryTableField id="5" name="Most of the time" tableColumnId="5"/>
      <queryTableField id="6" name="All of the time" tableColumnId="6"/>
      <queryTableField id="7" dataBound="0" tableColumnId="7"/>
    </queryTableFields>
  </queryTableRefresh>
  <extLst>
    <ext xmlns:x15="http://schemas.microsoft.com/office/spreadsheetml/2010/11/main" uri="{883FBD77-0823-4a55-B5E3-86C4891E6966}">
      <x15:queryTable sourceDataName="Query - Table004 (Page 3)"/>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751AF3B2-B651-4EE8-922F-80FF0C5C4185}" autoFormatId="16" applyNumberFormats="0" applyBorderFormats="0" applyFontFormats="0" applyPatternFormats="0" applyAlignmentFormats="0" applyWidthHeightFormats="0">
  <queryTableRefresh nextId="8" unboundColumnsRight="1">
    <queryTableFields count="7">
      <queryTableField id="1" name="4. In the past week, how difficult was it to..." tableColumnId="1"/>
      <queryTableField id="2" name="Not difficult at all" tableColumnId="2"/>
      <queryTableField id="3" name="A little difficult" tableColumnId="3"/>
      <queryTableField id="4" name="Somewhat difficult" tableColumnId="4"/>
      <queryTableField id="5" name="Very difficult" tableColumnId="5"/>
      <queryTableField id="6" name="Extremely difficult" tableColumnId="6"/>
      <queryTableField id="7" dataBound="0" tableColumnId="7"/>
    </queryTableFields>
  </queryTableRefresh>
  <extLst>
    <ext xmlns:x15="http://schemas.microsoft.com/office/spreadsheetml/2010/11/main" uri="{883FBD77-0823-4a55-B5E3-86C4891E6966}">
      <x15:queryTable sourceDataName="Query - Table005 (Page 3)"/>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11" xr16:uid="{4E7E5FF0-8C24-45A7-94D2-17BF0B07C2E7}" autoFormatId="16" applyNumberFormats="0" applyBorderFormats="0" applyFontFormats="0" applyPatternFormats="0" applyAlignmentFormats="0" applyWidthHeightFormats="0">
  <queryTableRefresh nextId="8" unboundColumnsRight="1">
    <queryTableFields count="7">
      <queryTableField id="1" name="5. In the past 2 weeks, how difficult_x000a_was it to..." tableColumnId="1"/>
      <queryTableField id="2" name="Not difficult_x000a_at all" tableColumnId="2"/>
      <queryTableField id="3" name="A little_x000a_difficult" tableColumnId="3"/>
      <queryTableField id="4" name="Somewhat_x000a_difficult" tableColumnId="4"/>
      <queryTableField id="5" name="Very_x000a_difficult" tableColumnId="5"/>
      <queryTableField id="6" name="Could not_x000a_do at all" tableColumnId="6"/>
      <queryTableField id="7" dataBound="0" tableColumnId="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4" xr16:uid="{B0195493-43F7-4431-91D9-C3D82424A781}" autoFormatId="16" applyNumberFormats="0" applyBorderFormats="0" applyFontFormats="0" applyPatternFormats="0" applyAlignmentFormats="0" applyWidthHeightFormats="0">
  <queryTableRefresh nextId="7">
    <queryTableFields count="6">
      <queryTableField id="1" name="6. In the past 2 weeks, how difficult was it to..." tableColumnId="1"/>
      <queryTableField id="2" name="Not difficult at all" tableColumnId="2"/>
      <queryTableField id="3" name="A little difficult" tableColumnId="3"/>
      <queryTableField id="4" name="Somewhat difficult" tableColumnId="4"/>
      <queryTableField id="5" name="Very difficult" tableColumnId="5"/>
      <queryTableField id="6" name="Could not do at all" tableColumnId="6"/>
    </queryTableFields>
  </queryTableRefresh>
  <extLst>
    <ext xmlns:x15="http://schemas.microsoft.com/office/spreadsheetml/2010/11/main" uri="{883FBD77-0823-4a55-B5E3-86C4891E6966}">
      <x15:queryTable sourceDataName="Query - Table007 (Page 4)"/>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7" backgroundRefresh="0" connectionId="5" xr16:uid="{C1E8B6A5-8DB6-4284-9044-D62ADE32BF4B}" autoFormatId="16" applyNumberFormats="0" applyBorderFormats="0" applyFontFormats="0" applyPatternFormats="0" applyAlignmentFormats="0" applyWidthHeightFormats="0">
  <queryTableRefresh nextId="8" unboundColumnsRight="1">
    <queryTableFields count="7">
      <queryTableField id="1" name="7. In the past 2 weeks, how difficult was it to use your hand that was most affected by your stroke" tableColumnId="1"/>
      <queryTableField id="2" name="Not difficult at all" tableColumnId="2"/>
      <queryTableField id="3" name="A little difficult" tableColumnId="3"/>
      <queryTableField id="4" name="Somewhat difficult" tableColumnId="4"/>
      <queryTableField id="5" name="Very difficult" tableColumnId="5"/>
      <queryTableField id="6" name="Could not do at all" tableColumnId="6"/>
      <queryTableField id="7" dataBound="0" tableColumnId="7"/>
    </queryTableFields>
  </queryTableRefresh>
  <extLst>
    <ext xmlns:x15="http://schemas.microsoft.com/office/spreadsheetml/2010/11/main" uri="{883FBD77-0823-4a55-B5E3-86C4891E6966}">
      <x15:queryTable sourceDataName="Query - Table008 (Page 5)"/>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8" backgroundRefresh="0" connectionId="6" xr16:uid="{9BA83D1D-BB22-4A4D-8FF8-4ED38A971727}" autoFormatId="16" applyNumberFormats="0" applyBorderFormats="0" applyFontFormats="0" applyPatternFormats="0" applyAlignmentFormats="0" applyWidthHeightFormats="0">
  <queryTableRefresh nextId="8" unboundColumnsRight="1">
    <queryTableFields count="7">
      <queryTableField id="1" name="8. During the past 4 weeks, how much of the time have you been limited in..." tableColumnId="1"/>
      <queryTableField id="2" name="None of the time" tableColumnId="2"/>
      <queryTableField id="3" name="A little of the time" tableColumnId="3"/>
      <queryTableField id="4" name="Some of the time" tableColumnId="4"/>
      <queryTableField id="5" name="Most of the time" tableColumnId="5"/>
      <queryTableField id="6" name="All of the time" tableColumnId="6"/>
      <queryTableField id="7" dataBound="0" tableColumnId="7"/>
    </queryTableFields>
  </queryTableRefresh>
  <extLst>
    <ext xmlns:x15="http://schemas.microsoft.com/office/spreadsheetml/2010/11/main" uri="{883FBD77-0823-4a55-B5E3-86C4891E6966}">
      <x15:queryTable sourceDataName="Query - Table009 (Page 5)"/>
    </ext>
  </extLst>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6DB01E7-1394-42BF-8AFA-24800EDC3ECC}" name="Table002__Page_2" displayName="Table002__Page_2" ref="A8:G12" tableType="queryTable" totalsRowShown="0">
  <autoFilter ref="A8:G12" xr:uid="{46DB01E7-1394-42BF-8AFA-24800EDC3ECC}"/>
  <tableColumns count="7">
    <tableColumn id="1" xr3:uid="{15A3BB6C-0254-4D22-836F-A88ED45113C4}" uniqueName="1" name="1. In the past week, how would_x000a_you rate the strength of your...." queryTableFieldId="1" dataDxfId="36"/>
    <tableColumn id="2" xr3:uid="{A942E3AB-19BD-481C-A30F-DAE91BFB80C0}" uniqueName="2" name="A lot of strength" queryTableFieldId="2"/>
    <tableColumn id="3" xr3:uid="{746FEAC5-F11A-4C25-80DB-116F6908BE8E}" uniqueName="3" name="Quite a bit of strength" queryTableFieldId="3"/>
    <tableColumn id="4" xr3:uid="{03C11614-5EED-44E6-AC39-5A4B97376DB4}" uniqueName="4" name="Some strength" queryTableFieldId="4"/>
    <tableColumn id="5" xr3:uid="{0F4A9BFF-19B2-4012-A5C1-41F07DFAB194}" uniqueName="5" name="A little strength" queryTableFieldId="5"/>
    <tableColumn id="6" xr3:uid="{85F16298-E066-46EC-AF23-E5D154DA5555}" uniqueName="6" name="No strength at all" queryTableFieldId="6"/>
    <tableColumn id="7" xr3:uid="{3227EE91-E381-463D-89F4-414527AECE7C}" uniqueName="7" name="Score" queryTableFieldId="7"/>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076F31-6A86-43C5-9C76-C7F996BB692D}" name="Table003__Page_2" displayName="Table003__Page_2" ref="A14:G21" tableType="queryTable" totalsRowShown="0">
  <autoFilter ref="A14:G21" xr:uid="{0F076F31-6A86-43C5-9C76-C7F996BB692D}"/>
  <tableColumns count="7">
    <tableColumn id="1" xr3:uid="{03E24D66-744A-47F4-A66B-F154E369EEEF}" uniqueName="1" name="2. In the past week, how difficult was it for you to..." queryTableFieldId="1" dataDxfId="35"/>
    <tableColumn id="2" xr3:uid="{020F51C7-2FC6-4392-B04B-EE7D42FFE3D5}" uniqueName="2" name="Not difficult at all" queryTableFieldId="2"/>
    <tableColumn id="3" xr3:uid="{6B041E46-6289-4EF1-B45C-46508E7558AE}" uniqueName="3" name="A little difficult" queryTableFieldId="3"/>
    <tableColumn id="4" xr3:uid="{93F957F1-DA36-42E6-BC3E-5EC7FB41DBD7}" uniqueName="4" name="Somewhat difficult" queryTableFieldId="4"/>
    <tableColumn id="5" xr3:uid="{4683D88A-2307-4030-89AB-8BCD2E20FB71}" uniqueName="5" name="Very difficult" queryTableFieldId="5"/>
    <tableColumn id="6" xr3:uid="{39DB1B9C-4D91-4D67-A26F-62C28612096A}" uniqueName="6" name="Extremely difficult" queryTableFieldId="6"/>
    <tableColumn id="7" xr3:uid="{35E26133-B23F-47A2-BC01-26EECBDD3E4B}" uniqueName="7" name="Score" queryTableFieldId="7"/>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221539D-B894-4E15-8302-50421E26C943}" name="Table004__Page_3" displayName="Table004__Page_3" ref="A23:G32" tableType="queryTable" totalsRowShown="0">
  <autoFilter ref="A23:G32" xr:uid="{1221539D-B894-4E15-8302-50421E26C943}"/>
  <tableColumns count="7">
    <tableColumn id="1" xr3:uid="{BB08AF52-7D14-497C-8D5C-6E3607F15B65}" uniqueName="1" name="3. In the past week, how often did you..." queryTableFieldId="1" dataDxfId="34"/>
    <tableColumn id="2" xr3:uid="{8464A523-8B7D-4857-9303-8DD62BBDD5CC}" uniqueName="2" name="None of the time" queryTableFieldId="2"/>
    <tableColumn id="3" xr3:uid="{A6DFA1B3-05A7-496F-9DC9-A53E4C7D9249}" uniqueName="3" name="A little of the time" queryTableFieldId="3"/>
    <tableColumn id="4" xr3:uid="{5552F5F7-A867-41CB-8875-6AC5B3D6D658}" uniqueName="4" name="Some of the time" queryTableFieldId="4"/>
    <tableColumn id="5" xr3:uid="{F56B9336-4743-42FC-B636-FD815A938100}" uniqueName="5" name="Most of the time" queryTableFieldId="5"/>
    <tableColumn id="6" xr3:uid="{BBE6A9C0-9610-4859-81F2-3069334867F5}" uniqueName="6" name="All of the time" queryTableFieldId="6"/>
    <tableColumn id="7" xr3:uid="{4E937BBD-BAD2-4F84-B56F-63909D1F1FEC}" uniqueName="7" name="Score" queryTableFieldId="7"/>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106AECC-A96A-40E6-9D56-ED960F741D25}" name="Table005__Page_3" displayName="Table005__Page_3" ref="A34:G41" tableType="queryTable" totalsRowShown="0">
  <autoFilter ref="A34:G41" xr:uid="{B106AECC-A96A-40E6-9D56-ED960F741D25}"/>
  <tableColumns count="7">
    <tableColumn id="1" xr3:uid="{C338F8D8-FBE3-4778-82C2-8CE6A19C01B8}" uniqueName="1" name="4. In the past week, how difficult was it to..." queryTableFieldId="1" dataDxfId="33"/>
    <tableColumn id="2" xr3:uid="{49246556-BDE6-4AC9-8074-610ABC692C9A}" uniqueName="2" name="Not difficult at all" queryTableFieldId="2"/>
    <tableColumn id="3" xr3:uid="{E1195366-D872-4CFE-BDB5-401DED6356CC}" uniqueName="3" name="A little difficult" queryTableFieldId="3"/>
    <tableColumn id="4" xr3:uid="{9A0E2624-52F3-4E01-959A-BF7467192F9B}" uniqueName="4" name="Somewhat difficult" queryTableFieldId="4"/>
    <tableColumn id="5" xr3:uid="{275D02FD-B846-40F2-8141-603D10EE8DBB}" uniqueName="5" name="Very difficult" queryTableFieldId="5"/>
    <tableColumn id="6" xr3:uid="{AD9C58E7-07EE-4DF8-A0FE-8E8C8D27214C}" uniqueName="6" name="Extremely difficult" queryTableFieldId="6"/>
    <tableColumn id="7" xr3:uid="{7A3D9303-79A6-4137-AFB0-FC86F2E08D81}" uniqueName="7" name="Score" queryTableFieldId="7"/>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64E44B3-B244-4ED3-92E9-06A0AC6612DB}" name="Table006__Page_4" displayName="Table006__Page_4" ref="A43:G53" tableType="queryTable" totalsRowShown="0">
  <autoFilter ref="A43:G53" xr:uid="{A64E44B3-B244-4ED3-92E9-06A0AC6612DB}"/>
  <tableColumns count="7">
    <tableColumn id="1" xr3:uid="{188B12F3-4710-4560-9D2D-A8CC7D7F10E3}" uniqueName="1" name="5. In the past 2 weeks, how difficult_x000a_was it to..." queryTableFieldId="1" dataDxfId="32"/>
    <tableColumn id="2" xr3:uid="{49D6B773-B178-49C1-A2EB-1589AD067022}" uniqueName="2" name="Not difficult_x000a_at all" queryTableFieldId="2"/>
    <tableColumn id="3" xr3:uid="{3CDBABA8-87B3-4EC3-A781-C18EDA5C79BB}" uniqueName="3" name="A little_x000a_difficult" queryTableFieldId="3"/>
    <tableColumn id="4" xr3:uid="{83112389-8DE1-4CDF-98BE-AF90948D9857}" uniqueName="4" name="Somewhat difficult" queryTableFieldId="4"/>
    <tableColumn id="5" xr3:uid="{7DA18A02-0AFC-412D-9511-E56B9AEFD303}" uniqueName="5" name="Very difficult" queryTableFieldId="5"/>
    <tableColumn id="6" xr3:uid="{42AAAF52-D66E-474C-B9A3-D6778B6828FD}" uniqueName="6" name="Could not do at all" queryTableFieldId="6"/>
    <tableColumn id="7" xr3:uid="{5DD2DA48-AEA4-4741-B017-590A00BE1509}" uniqueName="7" name="Score" queryTableFieldId="7"/>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37BF9B2-9315-4EDD-92AB-2BB924ED0BE1}" name="Table007__Page_4" displayName="Table007__Page_4" ref="A55:F64" tableType="queryTable" totalsRowShown="0">
  <autoFilter ref="A55:F64" xr:uid="{237BF9B2-9315-4EDD-92AB-2BB924ED0BE1}"/>
  <tableColumns count="6">
    <tableColumn id="1" xr3:uid="{528C41B0-1DC1-45D9-879A-9B654B3BEF32}" uniqueName="1" name="6. In the past 2 weeks, how difficult was it to..." queryTableFieldId="1" dataDxfId="31"/>
    <tableColumn id="2" xr3:uid="{174173DB-23A3-4C95-B0A4-EB8ECF64837B}" uniqueName="2" name="Not difficult at all" queryTableFieldId="2"/>
    <tableColumn id="3" xr3:uid="{527C91CC-BA73-4C39-8A6C-D4F297A2CFCE}" uniqueName="3" name="A little difficult" queryTableFieldId="3"/>
    <tableColumn id="4" xr3:uid="{9B1CF042-755F-4C13-950A-F6AC3B3DBC02}" uniqueName="4" name="Somewhat difficult" queryTableFieldId="4"/>
    <tableColumn id="5" xr3:uid="{3047E174-8109-419E-B753-5880A0784978}" uniqueName="5" name="Very difficult" queryTableFieldId="5"/>
    <tableColumn id="6" xr3:uid="{F17BF81A-B9EC-4911-ADC3-367D3086C4DC}" uniqueName="6" name="Could not do at all" queryTableFieldId="6"/>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295A1E3-C654-411D-993F-776EE6BB40A5}" name="Table008__Page_5" displayName="Table008__Page_5" ref="A66:G71" tableType="queryTable" totalsRowShown="0">
  <autoFilter ref="A66:G71" xr:uid="{9295A1E3-C654-411D-993F-776EE6BB40A5}"/>
  <tableColumns count="7">
    <tableColumn id="1" xr3:uid="{C718629C-D0FE-4119-A156-1A0B4C48D97A}" uniqueName="1" name="7. In the past 2 weeks, how difficult was it to use your hand that was most affected by your stroke" queryTableFieldId="1" dataDxfId="30"/>
    <tableColumn id="2" xr3:uid="{DAA38C39-C4C8-41EF-B54B-8AC732473FC6}" uniqueName="2" name="Not difficult at all" queryTableFieldId="2"/>
    <tableColumn id="3" xr3:uid="{A7F6DEEF-E299-42CB-BBF6-26BFCF343D56}" uniqueName="3" name="A little difficult" queryTableFieldId="3"/>
    <tableColumn id="4" xr3:uid="{4B25A076-4184-4664-97CA-AA0893EBAA20}" uniqueName="4" name="Somewhat difficult" queryTableFieldId="4"/>
    <tableColumn id="5" xr3:uid="{16E932D4-2B37-4FA6-9A93-EAE73489A394}" uniqueName="5" name="Very difficult" queryTableFieldId="5"/>
    <tableColumn id="6" xr3:uid="{6CEC025E-3B91-4548-8700-537BA57C73DB}" uniqueName="6" name="Could not do at all" queryTableFieldId="6"/>
    <tableColumn id="7" xr3:uid="{D22B7F83-BFA7-400E-B1F6-67D755C89F0C}" uniqueName="7" name="Score" queryTableFieldId="7" dataDxfId="29"/>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A8A9958-EB7C-4FD2-A92C-5B745764FF42}" name="Table009__Page_5" displayName="Table009__Page_5" ref="A73:G81" tableType="queryTable" totalsRowShown="0">
  <autoFilter ref="A73:G81" xr:uid="{0A8A9958-EB7C-4FD2-A92C-5B745764FF42}"/>
  <tableColumns count="7">
    <tableColumn id="1" xr3:uid="{6F6AC4F4-9FF0-4A8A-B034-044365A336BE}" uniqueName="1" name="8. During the past 4 weeks, how much of the time have you been limited in..." queryTableFieldId="1" dataDxfId="28"/>
    <tableColumn id="2" xr3:uid="{92A255CD-CACA-4641-B376-4667FEA7ECF2}" uniqueName="2" name="None of the time" queryTableFieldId="2"/>
    <tableColumn id="3" xr3:uid="{E1BF7DEA-84FC-433F-913D-1DF4BBF74FD0}" uniqueName="3" name="A little of the time" queryTableFieldId="3"/>
    <tableColumn id="4" xr3:uid="{5E5A8B5A-9F25-4C10-92A7-94CF32B5D4CC}" uniqueName="4" name="Some of the time" queryTableFieldId="4"/>
    <tableColumn id="5" xr3:uid="{01113361-E207-478D-82E6-5321B9DEB2E6}" uniqueName="5" name="Most of the time" queryTableFieldId="5"/>
    <tableColumn id="6" xr3:uid="{6671DCC6-37B1-4A58-8166-C43C137FCB6F}" uniqueName="6" name="All of the time" queryTableFieldId="6"/>
    <tableColumn id="7" xr3:uid="{F92F0EFA-1A0B-4DF1-BED8-1333A820E9A2}" uniqueName="7" name="Score" queryTableFieldId="7" dataDxfId="27"/>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A0808F-08FE-4C3F-BE80-0D7892AFCF1A}" name="Table15" displayName="Table15" ref="A9:I14" totalsRowShown="0" headerRowDxfId="26">
  <autoFilter ref="A9:I14" xr:uid="{59A0808F-08FE-4C3F-BE80-0D7892AFCF1A}"/>
  <tableColumns count="9">
    <tableColumn id="1" xr3:uid="{9697A0DB-BF27-4883-B239-D651748EF71E}" name="Item" dataDxfId="25"/>
    <tableColumn id="2" xr3:uid="{0831EB29-E9E7-49F3-B083-F096F11A4433}" name="Ocupational Perfomance Problem (OPP)"/>
    <tableColumn id="3" xr3:uid="{9095156D-BF9F-4B25-8250-43A06E484A15}" name="Importance"/>
    <tableColumn id="4" xr3:uid="{183D9FC8-67BC-4867-A71B-DFA2DA7AF3D2}" name="Performance T1"/>
    <tableColumn id="5" xr3:uid="{A03AFE26-8A21-4E0B-8E05-673F4CFD4BA3}" name="Satisfaction T1"/>
    <tableColumn id="6" xr3:uid="{05D246C2-421F-4CA2-940D-5E13B9C38DD4}" name="Performance T2"/>
    <tableColumn id="7" xr3:uid="{BF1A0B1C-FA54-4148-9E12-2CC31E9003F3}" name="Satisfaction T2"/>
    <tableColumn id="8" xr3:uid="{2C5548D8-987F-404F-8AF0-D8BAA7A05B49}" name="Change in Performance (T2-T1)"/>
    <tableColumn id="9" xr3:uid="{771B4280-7560-4632-8DA6-9205D72C9F15}" name="Change in Performance (T2-T1)2"/>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216D609-ED06-422C-81B6-D8AB85025810}" name="Table16" displayName="Table16" ref="A13:E21" totalsRowShown="0" headerRowDxfId="24" dataDxfId="23">
  <autoFilter ref="A13:E21" xr:uid="{2216D609-ED06-422C-81B6-D8AB85025810}"/>
  <tableColumns count="5">
    <tableColumn id="1" xr3:uid="{766FBFC5-1F07-4EB8-813F-8BFCD4983DA5}" name="Joint" dataDxfId="22"/>
    <tableColumn id="2" xr3:uid="{4C048DB1-35D7-4924-AC52-9128E3DE697A}" name="Muscle Group" dataDxfId="21"/>
    <tableColumn id="3" xr3:uid="{D3FDEE9C-71D4-421C-8361-8C48C9A04B95}" name="MAS Score" dataDxfId="20"/>
    <tableColumn id="4" xr3:uid="{71ABD23F-BCAC-484B-A8D3-D0F45C111FB9}" name="MMT Score" dataDxfId="19"/>
    <tableColumn id="5" xr3:uid="{CD41C948-9748-4150-B477-EA91D07C3127}" name="AROM" dataDxfId="18"/>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5449504-883E-4F64-83EF-F70CAF249DF7}" name="Table4" displayName="Table4" ref="A9:E11" totalsRowShown="0" headerRowDxfId="17">
  <autoFilter ref="A9:E11" xr:uid="{E5449504-883E-4F64-83EF-F70CAF249DF7}"/>
  <tableColumns count="5">
    <tableColumn id="1" xr3:uid="{BB49F0F0-D4B5-4E7C-ADA6-508B2E01BD57}" name="Date" dataDxfId="16"/>
    <tableColumn id="2" xr3:uid="{5F71B9F7-6561-4BF2-9C63-47BA07C6CA39}" name="Hand" dataDxfId="15"/>
    <tableColumn id="3" xr3:uid="{05E45D1C-A08F-4140-835F-59158592055A}" name="Trial Type" dataDxfId="14"/>
    <tableColumn id="4" xr3:uid="{F8DE315E-CF8E-448F-AFC2-61650747D9BE}" name="Score (# of blocks)"/>
    <tableColumn id="5" xr3:uid="{2F5E9086-6C66-4ABF-8F44-4F3A7C5B3953}" name="Notes"/>
  </tableColumns>
  <tableStyleInfo name="TableStyleMedium1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89A14E-4A9D-4170-A67B-B172C8DAF583}" name="Table42" displayName="Table42" ref="A14:E16" totalsRowShown="0" headerRowDxfId="13">
  <autoFilter ref="A14:E16" xr:uid="{6589A14E-4A9D-4170-A67B-B172C8DAF583}"/>
  <tableColumns count="5">
    <tableColumn id="1" xr3:uid="{B10ACF48-13C6-43AC-AC11-A79028E83C6E}" name="Date" dataDxfId="12"/>
    <tableColumn id="2" xr3:uid="{A385F3DD-D5FC-48DE-9B11-7104F8F65641}" name="Hand" dataDxfId="11"/>
    <tableColumn id="3" xr3:uid="{15D2C0AB-0F31-4C7E-8A41-1754B4D03C5F}" name="Trial Type" dataDxfId="10"/>
    <tableColumn id="4" xr3:uid="{3E131BB6-69AF-4251-8B23-16726370140E}" name="Score (# of blocks)"/>
    <tableColumn id="5" xr3:uid="{7DF8EF41-F242-4E4E-840F-AB05A00F4627}" name="Notes"/>
  </tableColumns>
  <tableStyleInfo name="TableStyleMedium1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F26DDC-E751-4978-B6B7-715F0E95FF75}" name="Table53" displayName="Table53" ref="A14:E27" totalsRowShown="0" headerRowDxfId="9" dataDxfId="8">
  <autoFilter ref="A14:E27" xr:uid="{5AF26DDC-E751-4978-B6B7-715F0E95FF75}"/>
  <tableColumns count="5">
    <tableColumn id="1" xr3:uid="{EC6AA086-CD4D-44CE-AFC8-CA1253750016}" name="#" dataDxfId="7"/>
    <tableColumn id="2" xr3:uid="{C1679E12-D44B-4B65-8296-F25C700889CC}" name="Task" dataDxfId="6"/>
    <tableColumn id="3" xr3:uid="{DF4907AF-23FE-4E84-835D-D757058DDB98}" name="Role of Affected Arm" dataDxfId="5"/>
    <tableColumn id="4" xr3:uid="{A1A3B09B-DCAA-42A0-8660-EBC01EA62FFC}" name="Score (1-7)"/>
    <tableColumn id="5" xr3:uid="{B49872A7-BE24-49EE-BF1F-C6665BFB64FC}" name="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58805CE-5857-4CD9-B87E-A6D3BFA02B31}" name="Table538" displayName="Table538" ref="A14:E27" totalsRowShown="0" headerRowDxfId="4" dataDxfId="3">
  <autoFilter ref="A14:E27" xr:uid="{5AF26DDC-E751-4978-B6B7-715F0E95FF75}"/>
  <tableColumns count="5">
    <tableColumn id="1" xr3:uid="{61FEAF9F-5DA2-4212-8338-73C123021D0E}" name="#" dataDxfId="2"/>
    <tableColumn id="2" xr3:uid="{244B44A7-2B20-40E4-9525-3AE0D67CDD69}" name="Task" dataDxfId="1"/>
    <tableColumn id="3" xr3:uid="{0CCC644D-4AB9-4303-B480-703B56EE0224}" name="Role of Affected Arm" dataDxfId="0"/>
    <tableColumn id="4" xr3:uid="{6DFA537E-FE10-4EA3-B526-08CA09A994AE}" name="Score (1-7)"/>
    <tableColumn id="5" xr3:uid="{64CCFB57-9934-43D4-97EB-CC31917004CB}" name="Comments"/>
  </tableColumns>
  <tableStyleInfo name="TableStyleLight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7" dT="2025-10-29T00:06:26.49" personId="{61586A66-B7FE-4B65-A591-147F5E33B510}" id="{BD59226B-58A2-483F-9F04-1F1350CDCF16}">
    <text>Use an “X” to tick off a relevant box here. Intended to be similar to the actual FM form</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uofu.app.box.com/file/2004642799198" TargetMode="External"/><Relationship Id="rId1" Type="http://schemas.openxmlformats.org/officeDocument/2006/relationships/hyperlink" Target="https://uofu.app.box.com/file/1980825992620" TargetMode="External"/><Relationship Id="rId4" Type="http://schemas.openxmlformats.org/officeDocument/2006/relationships/table" Target="../tables/table9.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uofu.app.box.com/file/1989029623033" TargetMode="External"/><Relationship Id="rId1" Type="http://schemas.openxmlformats.org/officeDocument/2006/relationships/hyperlink" Target="https://uofu.app.box.com/file/196858462744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hyperlink" Target="https://uofu.app.box.com/file/1971344564741" TargetMode="External"/></Relationships>
</file>

<file path=xl/worksheets/_rels/sheet10.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hyperlink" Target="https://uofu.app.box.com/file/1971346843081" TargetMode="External"/><Relationship Id="rId1" Type="http://schemas.openxmlformats.org/officeDocument/2006/relationships/hyperlink" Target="https://uofu.app.box.com/file/1971345419750" TargetMode="Externa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hyperlink" Target="https://uofu.app.box.com/file/1971346843081" TargetMode="External"/><Relationship Id="rId1" Type="http://schemas.openxmlformats.org/officeDocument/2006/relationships/hyperlink" Target="https://uofu.app.box.com/file/19713454197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29"/>
  <sheetViews>
    <sheetView workbookViewId="0">
      <selection activeCell="B28" sqref="B28"/>
    </sheetView>
  </sheetViews>
  <sheetFormatPr defaultColWidth="12.5703125" defaultRowHeight="15.75" customHeight="1" x14ac:dyDescent="0.2"/>
  <cols>
    <col min="1" max="1" width="33.42578125" customWidth="1"/>
    <col min="2" max="2" width="30.42578125" customWidth="1"/>
    <col min="3" max="3" width="37.85546875" customWidth="1"/>
  </cols>
  <sheetData>
    <row r="1" spans="1:6" ht="15.75" customHeight="1" x14ac:dyDescent="0.2">
      <c r="A1" s="29" t="s">
        <v>0</v>
      </c>
    </row>
    <row r="2" spans="1:6" ht="15.75" customHeight="1" thickBot="1" x14ac:dyDescent="0.25">
      <c r="C2" s="9"/>
      <c r="D2" s="9" t="s">
        <v>366</v>
      </c>
    </row>
    <row r="3" spans="1:6" ht="15.75" customHeight="1" x14ac:dyDescent="0.2">
      <c r="A3" s="123" t="s">
        <v>1</v>
      </c>
      <c r="B3" s="130" t="s">
        <v>413</v>
      </c>
      <c r="D3" s="101" t="s">
        <v>365</v>
      </c>
    </row>
    <row r="4" spans="1:6" ht="15.75" customHeight="1" x14ac:dyDescent="0.2">
      <c r="A4" s="129" t="s">
        <v>2</v>
      </c>
      <c r="B4" s="131" t="s">
        <v>313</v>
      </c>
      <c r="D4" s="100" t="s">
        <v>367</v>
      </c>
    </row>
    <row r="5" spans="1:6" ht="15.75" customHeight="1" x14ac:dyDescent="0.2">
      <c r="A5" s="124" t="s">
        <v>412</v>
      </c>
      <c r="B5" s="125"/>
    </row>
    <row r="6" spans="1:6" ht="15.75" customHeight="1" x14ac:dyDescent="0.2">
      <c r="A6" s="124" t="s">
        <v>414</v>
      </c>
      <c r="B6" s="128" t="s">
        <v>6</v>
      </c>
    </row>
    <row r="7" spans="1:6" ht="15.75" customHeight="1" thickBot="1" x14ac:dyDescent="0.25">
      <c r="A7" s="126" t="s">
        <v>433</v>
      </c>
      <c r="B7" s="127" t="s">
        <v>434</v>
      </c>
    </row>
    <row r="8" spans="1:6" ht="15.75" customHeight="1" x14ac:dyDescent="0.2">
      <c r="C8" s="9"/>
    </row>
    <row r="9" spans="1:6" ht="15.75" customHeight="1" x14ac:dyDescent="0.2">
      <c r="C9" s="9"/>
    </row>
    <row r="11" spans="1:6" ht="15.75" customHeight="1" x14ac:dyDescent="0.2">
      <c r="A11" s="1" t="s">
        <v>3</v>
      </c>
      <c r="B11" s="157" t="s">
        <v>74</v>
      </c>
      <c r="C11" s="158"/>
      <c r="D11" s="158"/>
      <c r="E11" s="158"/>
      <c r="F11" s="159"/>
    </row>
    <row r="12" spans="1:6" ht="15.75" customHeight="1" x14ac:dyDescent="0.2">
      <c r="B12" s="160"/>
      <c r="C12" s="161"/>
      <c r="D12" s="161"/>
      <c r="E12" s="161"/>
      <c r="F12" s="162"/>
    </row>
    <row r="13" spans="1:6" ht="15.75" customHeight="1" x14ac:dyDescent="0.2">
      <c r="B13" s="160"/>
      <c r="C13" s="161"/>
      <c r="D13" s="161"/>
      <c r="E13" s="161"/>
      <c r="F13" s="162"/>
    </row>
    <row r="14" spans="1:6" ht="15.75" customHeight="1" x14ac:dyDescent="0.2">
      <c r="B14" s="160"/>
      <c r="C14" s="161"/>
      <c r="D14" s="161"/>
      <c r="E14" s="161"/>
      <c r="F14" s="162"/>
    </row>
    <row r="15" spans="1:6" ht="15.75" customHeight="1" x14ac:dyDescent="0.2">
      <c r="B15" s="160"/>
      <c r="C15" s="161"/>
      <c r="D15" s="161"/>
      <c r="E15" s="161"/>
      <c r="F15" s="162"/>
    </row>
    <row r="16" spans="1:6" ht="15.75" customHeight="1" x14ac:dyDescent="0.2">
      <c r="B16" s="160"/>
      <c r="C16" s="161"/>
      <c r="D16" s="161"/>
      <c r="E16" s="161"/>
      <c r="F16" s="162"/>
    </row>
    <row r="17" spans="1:6" ht="15.75" customHeight="1" x14ac:dyDescent="0.2">
      <c r="B17" s="160"/>
      <c r="C17" s="161"/>
      <c r="D17" s="161"/>
      <c r="E17" s="161"/>
      <c r="F17" s="162"/>
    </row>
    <row r="18" spans="1:6" ht="15.75" customHeight="1" x14ac:dyDescent="0.2">
      <c r="B18" s="160"/>
      <c r="C18" s="161"/>
      <c r="D18" s="161"/>
      <c r="E18" s="161"/>
      <c r="F18" s="162"/>
    </row>
    <row r="19" spans="1:6" ht="15.75" customHeight="1" x14ac:dyDescent="0.2">
      <c r="B19" s="163"/>
      <c r="C19" s="164"/>
      <c r="D19" s="164"/>
      <c r="E19" s="164"/>
      <c r="F19" s="165"/>
    </row>
    <row r="22" spans="1:6" ht="15.75" customHeight="1" x14ac:dyDescent="0.2">
      <c r="A22" s="74" t="s">
        <v>421</v>
      </c>
      <c r="B22" s="74" t="s">
        <v>422</v>
      </c>
    </row>
    <row r="23" spans="1:6" ht="15.75" customHeight="1" x14ac:dyDescent="0.2">
      <c r="A23" s="42" t="s">
        <v>423</v>
      </c>
      <c r="B23" t="s">
        <v>428</v>
      </c>
    </row>
    <row r="24" spans="1:6" ht="15.75" customHeight="1" x14ac:dyDescent="0.2">
      <c r="A24" s="42" t="s">
        <v>424</v>
      </c>
      <c r="B24" t="s">
        <v>430</v>
      </c>
    </row>
    <row r="25" spans="1:6" ht="15.75" customHeight="1" x14ac:dyDescent="0.2">
      <c r="A25" s="42" t="s">
        <v>425</v>
      </c>
      <c r="B25" t="s">
        <v>432</v>
      </c>
    </row>
    <row r="26" spans="1:6" ht="15.75" customHeight="1" x14ac:dyDescent="0.2">
      <c r="A26" s="42" t="s">
        <v>435</v>
      </c>
      <c r="B26" t="s">
        <v>426</v>
      </c>
    </row>
    <row r="27" spans="1:6" ht="15.75" customHeight="1" x14ac:dyDescent="0.2">
      <c r="A27" t="s">
        <v>427</v>
      </c>
    </row>
    <row r="28" spans="1:6" ht="15.75" customHeight="1" x14ac:dyDescent="0.2">
      <c r="A28" t="s">
        <v>429</v>
      </c>
    </row>
    <row r="29" spans="1:6" ht="15.75" customHeight="1" x14ac:dyDescent="0.2">
      <c r="A29" t="s">
        <v>431</v>
      </c>
    </row>
  </sheetData>
  <mergeCells count="1">
    <mergeCell ref="B11:F19"/>
  </mergeCells>
  <dataValidations count="2">
    <dataValidation type="list" allowBlank="1" showInputMessage="1" showErrorMessage="1" sqref="B6" xr:uid="{4A26AA54-2CCF-4E02-B9AC-5B01055B8BC7}">
      <formula1>"Left, Right"</formula1>
    </dataValidation>
    <dataValidation type="list" allowBlank="1" showInputMessage="1" showErrorMessage="1" sqref="B7" xr:uid="{F4FDE2CE-B154-4084-AE3D-11F8E17AC344}">
      <formula1>"baseline,phase_1,phase_2,phase_3"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6F768-2A57-4DC2-BBE4-8E116513D301}">
  <dimension ref="A1:G11"/>
  <sheetViews>
    <sheetView tabSelected="1" workbookViewId="0">
      <selection activeCell="G11" sqref="A1:G11"/>
    </sheetView>
  </sheetViews>
  <sheetFormatPr defaultRowHeight="12.75" x14ac:dyDescent="0.2"/>
  <cols>
    <col min="1" max="1" width="20.28515625" customWidth="1"/>
    <col min="2" max="2" width="12.5703125" customWidth="1"/>
    <col min="3" max="3" width="40.85546875" customWidth="1"/>
  </cols>
  <sheetData>
    <row r="1" spans="1:7" x14ac:dyDescent="0.2">
      <c r="A1" s="42" t="s">
        <v>443</v>
      </c>
      <c r="B1" s="42" t="s">
        <v>454</v>
      </c>
      <c r="C1" s="42" t="s">
        <v>12</v>
      </c>
      <c r="E1" t="s">
        <v>456</v>
      </c>
    </row>
    <row r="2" spans="1:7" x14ac:dyDescent="0.2">
      <c r="A2" s="42" t="s">
        <v>444</v>
      </c>
      <c r="B2" s="42" t="s">
        <v>455</v>
      </c>
      <c r="C2" s="42" t="s">
        <v>74</v>
      </c>
      <c r="E2" s="156" t="s">
        <v>74</v>
      </c>
      <c r="F2" s="156"/>
      <c r="G2" s="156"/>
    </row>
    <row r="3" spans="1:7" x14ac:dyDescent="0.2">
      <c r="A3" s="42" t="s">
        <v>445</v>
      </c>
      <c r="B3" s="42" t="s">
        <v>455</v>
      </c>
      <c r="C3" s="42" t="s">
        <v>74</v>
      </c>
      <c r="E3" s="156"/>
      <c r="F3" s="156"/>
      <c r="G3" s="156"/>
    </row>
    <row r="4" spans="1:7" x14ac:dyDescent="0.2">
      <c r="A4" s="42" t="s">
        <v>446</v>
      </c>
      <c r="B4" s="42" t="s">
        <v>455</v>
      </c>
      <c r="C4" s="42" t="s">
        <v>74</v>
      </c>
      <c r="E4" s="156"/>
      <c r="F4" s="156"/>
      <c r="G4" s="156"/>
    </row>
    <row r="5" spans="1:7" x14ac:dyDescent="0.2">
      <c r="A5" s="42" t="s">
        <v>447</v>
      </c>
      <c r="B5" s="42" t="s">
        <v>455</v>
      </c>
      <c r="C5" s="42" t="s">
        <v>74</v>
      </c>
    </row>
    <row r="6" spans="1:7" x14ac:dyDescent="0.2">
      <c r="A6" s="42" t="s">
        <v>448</v>
      </c>
      <c r="B6" s="42" t="s">
        <v>455</v>
      </c>
      <c r="C6" s="42" t="s">
        <v>74</v>
      </c>
    </row>
    <row r="7" spans="1:7" x14ac:dyDescent="0.2">
      <c r="A7" s="42" t="s">
        <v>449</v>
      </c>
      <c r="B7" s="42" t="s">
        <v>455</v>
      </c>
      <c r="C7" s="42" t="s">
        <v>74</v>
      </c>
      <c r="E7" t="s">
        <v>457</v>
      </c>
    </row>
    <row r="8" spans="1:7" x14ac:dyDescent="0.2">
      <c r="A8" s="42" t="s">
        <v>450</v>
      </c>
      <c r="B8" s="42" t="s">
        <v>455</v>
      </c>
      <c r="C8" s="42" t="s">
        <v>74</v>
      </c>
      <c r="E8" s="193" t="s">
        <v>74</v>
      </c>
      <c r="F8" s="156"/>
      <c r="G8" s="156"/>
    </row>
    <row r="9" spans="1:7" x14ac:dyDescent="0.2">
      <c r="A9" s="42" t="s">
        <v>452</v>
      </c>
      <c r="B9" s="42" t="s">
        <v>455</v>
      </c>
      <c r="C9" s="42" t="s">
        <v>74</v>
      </c>
      <c r="E9" s="156"/>
      <c r="F9" s="156"/>
      <c r="G9" s="156"/>
    </row>
    <row r="10" spans="1:7" x14ac:dyDescent="0.2">
      <c r="A10" s="42" t="s">
        <v>451</v>
      </c>
      <c r="B10" s="42" t="s">
        <v>455</v>
      </c>
      <c r="C10" s="42" t="s">
        <v>74</v>
      </c>
      <c r="E10" s="156"/>
      <c r="F10" s="156"/>
      <c r="G10" s="156"/>
    </row>
    <row r="11" spans="1:7" x14ac:dyDescent="0.2">
      <c r="A11" s="42" t="s">
        <v>453</v>
      </c>
      <c r="B11" s="42" t="s">
        <v>455</v>
      </c>
      <c r="C11" s="42" t="s">
        <v>74</v>
      </c>
    </row>
  </sheetData>
  <mergeCells count="2">
    <mergeCell ref="E2:G4"/>
    <mergeCell ref="E8:G1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J84"/>
  <sheetViews>
    <sheetView workbookViewId="0">
      <selection activeCell="J21" sqref="J21"/>
    </sheetView>
  </sheetViews>
  <sheetFormatPr defaultColWidth="12.5703125" defaultRowHeight="15.75" customHeight="1" x14ac:dyDescent="0.2"/>
  <cols>
    <col min="1" max="1" width="70.140625" customWidth="1"/>
    <col min="2" max="2" width="18.140625" bestFit="1" customWidth="1"/>
    <col min="3" max="3" width="19" bestFit="1" customWidth="1"/>
    <col min="4" max="4" width="19.7109375" bestFit="1" customWidth="1"/>
    <col min="5" max="5" width="17.28515625" bestFit="1" customWidth="1"/>
    <col min="6" max="6" width="19.140625" bestFit="1" customWidth="1"/>
    <col min="7" max="7" width="8.42578125" bestFit="1" customWidth="1"/>
    <col min="10" max="10" width="21.28515625" customWidth="1"/>
  </cols>
  <sheetData>
    <row r="1" spans="1:10" ht="15.75" customHeight="1" x14ac:dyDescent="0.2">
      <c r="A1" s="1" t="s">
        <v>44</v>
      </c>
    </row>
    <row r="2" spans="1:10" ht="15.75" customHeight="1" thickBot="1" x14ac:dyDescent="0.25"/>
    <row r="3" spans="1:10" ht="15.75" customHeight="1" thickBot="1" x14ac:dyDescent="0.25">
      <c r="A3" s="102" t="s">
        <v>1</v>
      </c>
      <c r="B3" s="103" t="str">
        <f>'1_patient_info'!B3</f>
        <v>##</v>
      </c>
      <c r="C3" s="102" t="s">
        <v>5</v>
      </c>
      <c r="D3" s="104" t="s">
        <v>313</v>
      </c>
    </row>
    <row r="5" spans="1:10" ht="33.6" customHeight="1" x14ac:dyDescent="0.2">
      <c r="A5" s="4" t="s">
        <v>45</v>
      </c>
      <c r="B5" s="166" t="s">
        <v>46</v>
      </c>
      <c r="C5" s="166"/>
      <c r="D5" s="166"/>
      <c r="E5" s="166"/>
      <c r="F5" s="166"/>
      <c r="G5" s="166"/>
    </row>
    <row r="7" spans="1:10" ht="15.75" customHeight="1" thickBot="1" x14ac:dyDescent="0.25"/>
    <row r="8" spans="1:10" ht="25.5" customHeight="1" thickBot="1" x14ac:dyDescent="0.25">
      <c r="A8" s="64" t="s">
        <v>214</v>
      </c>
      <c r="B8" s="42" t="s">
        <v>219</v>
      </c>
      <c r="C8" s="42" t="s">
        <v>220</v>
      </c>
      <c r="D8" s="42" t="s">
        <v>221</v>
      </c>
      <c r="E8" s="42" t="s">
        <v>222</v>
      </c>
      <c r="F8" s="42" t="s">
        <v>223</v>
      </c>
      <c r="G8" s="42" t="s">
        <v>224</v>
      </c>
      <c r="H8" s="111" t="s">
        <v>410</v>
      </c>
      <c r="J8" s="112" t="s">
        <v>411</v>
      </c>
    </row>
    <row r="9" spans="1:10" ht="15.75" customHeight="1" thickBot="1" x14ac:dyDescent="0.25">
      <c r="A9" s="42" t="s">
        <v>215</v>
      </c>
      <c r="B9">
        <v>5</v>
      </c>
      <c r="C9">
        <v>4</v>
      </c>
      <c r="D9">
        <v>3</v>
      </c>
      <c r="E9">
        <v>2</v>
      </c>
      <c r="F9">
        <v>1</v>
      </c>
      <c r="H9" s="113" t="e">
        <f>((AVERAGE(G9:G12)-F9)/4)*100</f>
        <v>#DIV/0!</v>
      </c>
      <c r="J9" s="113" t="e">
        <f>AVERAGE(H9, H44, H56, H67, B84)</f>
        <v>#DIV/0!</v>
      </c>
    </row>
    <row r="10" spans="1:10" ht="15.75" customHeight="1" x14ac:dyDescent="0.2">
      <c r="A10" s="42" t="s">
        <v>216</v>
      </c>
      <c r="B10">
        <v>5</v>
      </c>
      <c r="C10">
        <v>4</v>
      </c>
      <c r="D10">
        <v>3</v>
      </c>
      <c r="E10">
        <v>2</v>
      </c>
      <c r="F10">
        <v>1</v>
      </c>
    </row>
    <row r="11" spans="1:10" ht="15.75" customHeight="1" x14ac:dyDescent="0.2">
      <c r="A11" s="42" t="s">
        <v>217</v>
      </c>
      <c r="B11">
        <v>5</v>
      </c>
      <c r="C11">
        <v>4</v>
      </c>
      <c r="D11">
        <v>3</v>
      </c>
      <c r="E11">
        <v>2</v>
      </c>
      <c r="F11">
        <v>1</v>
      </c>
    </row>
    <row r="12" spans="1:10" ht="15.75" customHeight="1" x14ac:dyDescent="0.2">
      <c r="A12" s="42" t="s">
        <v>218</v>
      </c>
      <c r="B12">
        <v>5</v>
      </c>
      <c r="C12">
        <v>4</v>
      </c>
      <c r="D12">
        <v>3</v>
      </c>
      <c r="E12">
        <v>2</v>
      </c>
      <c r="F12">
        <v>1</v>
      </c>
    </row>
    <row r="13" spans="1:10" ht="15.75" customHeight="1" thickBot="1" x14ac:dyDescent="0.25"/>
    <row r="14" spans="1:10" ht="12.75" x14ac:dyDescent="0.2">
      <c r="A14" t="s">
        <v>225</v>
      </c>
      <c r="B14" t="s">
        <v>226</v>
      </c>
      <c r="C14" t="s">
        <v>227</v>
      </c>
      <c r="D14" t="s">
        <v>228</v>
      </c>
      <c r="E14" t="s">
        <v>229</v>
      </c>
      <c r="F14" t="s">
        <v>230</v>
      </c>
      <c r="G14" s="42" t="s">
        <v>224</v>
      </c>
      <c r="H14" s="134" t="s">
        <v>410</v>
      </c>
    </row>
    <row r="15" spans="1:10" ht="13.5" thickBot="1" x14ac:dyDescent="0.25">
      <c r="A15" t="s">
        <v>231</v>
      </c>
      <c r="B15">
        <v>5</v>
      </c>
      <c r="C15">
        <v>4</v>
      </c>
      <c r="D15">
        <v>3</v>
      </c>
      <c r="E15">
        <v>2</v>
      </c>
      <c r="F15">
        <v>1</v>
      </c>
      <c r="H15" s="135" t="e">
        <f>((AVERAGE(G15:G21)-F15)/4)*100</f>
        <v>#DIV/0!</v>
      </c>
    </row>
    <row r="16" spans="1:10" ht="12.75" x14ac:dyDescent="0.2">
      <c r="A16" t="s">
        <v>232</v>
      </c>
      <c r="B16">
        <v>5</v>
      </c>
      <c r="C16">
        <v>4</v>
      </c>
      <c r="D16">
        <v>3</v>
      </c>
      <c r="E16">
        <v>2</v>
      </c>
      <c r="F16">
        <v>1</v>
      </c>
    </row>
    <row r="17" spans="1:8" ht="12.75" x14ac:dyDescent="0.2">
      <c r="A17" t="s">
        <v>233</v>
      </c>
      <c r="B17">
        <v>5</v>
      </c>
      <c r="C17">
        <v>4</v>
      </c>
      <c r="D17">
        <v>3</v>
      </c>
      <c r="E17">
        <v>2</v>
      </c>
      <c r="F17">
        <v>1</v>
      </c>
    </row>
    <row r="18" spans="1:8" ht="12.75" x14ac:dyDescent="0.2">
      <c r="A18" t="s">
        <v>234</v>
      </c>
      <c r="B18">
        <v>5</v>
      </c>
      <c r="C18">
        <v>4</v>
      </c>
      <c r="D18">
        <v>3</v>
      </c>
      <c r="E18">
        <v>2</v>
      </c>
      <c r="F18">
        <v>1</v>
      </c>
    </row>
    <row r="19" spans="1:8" ht="12.75" x14ac:dyDescent="0.2">
      <c r="A19" t="s">
        <v>235</v>
      </c>
      <c r="B19">
        <v>5</v>
      </c>
      <c r="C19">
        <v>4</v>
      </c>
      <c r="D19">
        <v>3</v>
      </c>
      <c r="E19">
        <v>2</v>
      </c>
      <c r="F19">
        <v>1</v>
      </c>
    </row>
    <row r="20" spans="1:8" ht="12.75" x14ac:dyDescent="0.2">
      <c r="A20" t="s">
        <v>236</v>
      </c>
      <c r="B20">
        <v>5</v>
      </c>
      <c r="C20">
        <v>4</v>
      </c>
      <c r="D20">
        <v>3</v>
      </c>
      <c r="E20">
        <v>2</v>
      </c>
      <c r="F20">
        <v>1</v>
      </c>
    </row>
    <row r="21" spans="1:8" ht="12.75" x14ac:dyDescent="0.2">
      <c r="A21" t="s">
        <v>237</v>
      </c>
      <c r="B21">
        <v>5</v>
      </c>
      <c r="C21">
        <v>4</v>
      </c>
      <c r="D21">
        <v>3</v>
      </c>
      <c r="E21">
        <v>2</v>
      </c>
      <c r="F21">
        <v>1</v>
      </c>
    </row>
    <row r="22" spans="1:8" ht="15.75" customHeight="1" thickBot="1" x14ac:dyDescent="0.25"/>
    <row r="23" spans="1:8" ht="12.75" x14ac:dyDescent="0.2">
      <c r="A23" t="s">
        <v>238</v>
      </c>
      <c r="B23" t="s">
        <v>239</v>
      </c>
      <c r="C23" t="s">
        <v>240</v>
      </c>
      <c r="D23" t="s">
        <v>241</v>
      </c>
      <c r="E23" t="s">
        <v>242</v>
      </c>
      <c r="F23" t="s">
        <v>243</v>
      </c>
      <c r="G23" s="42" t="s">
        <v>224</v>
      </c>
      <c r="H23" s="134" t="s">
        <v>410</v>
      </c>
    </row>
    <row r="24" spans="1:8" ht="13.5" thickBot="1" x14ac:dyDescent="0.25">
      <c r="A24" t="s">
        <v>244</v>
      </c>
      <c r="B24">
        <v>5</v>
      </c>
      <c r="C24">
        <v>4</v>
      </c>
      <c r="D24">
        <v>3</v>
      </c>
      <c r="E24">
        <v>2</v>
      </c>
      <c r="F24">
        <v>1</v>
      </c>
      <c r="G24">
        <v>1</v>
      </c>
      <c r="H24" s="135">
        <f>((AVERAGE(G24:G28, G30, 6-G29, 6-G31, 6-G32)-F24)/4)*100</f>
        <v>0</v>
      </c>
    </row>
    <row r="25" spans="1:8" ht="12.75" x14ac:dyDescent="0.2">
      <c r="A25" t="s">
        <v>245</v>
      </c>
      <c r="B25">
        <v>5</v>
      </c>
      <c r="C25">
        <v>4</v>
      </c>
      <c r="D25">
        <v>3</v>
      </c>
      <c r="E25">
        <v>2</v>
      </c>
      <c r="F25">
        <v>1</v>
      </c>
      <c r="G25">
        <v>1</v>
      </c>
    </row>
    <row r="26" spans="1:8" ht="12.75" x14ac:dyDescent="0.2">
      <c r="A26" t="s">
        <v>246</v>
      </c>
      <c r="B26">
        <v>5</v>
      </c>
      <c r="C26">
        <v>4</v>
      </c>
      <c r="D26">
        <v>3</v>
      </c>
      <c r="E26">
        <v>2</v>
      </c>
      <c r="F26">
        <v>1</v>
      </c>
      <c r="G26">
        <v>1</v>
      </c>
    </row>
    <row r="27" spans="1:8" ht="12.75" x14ac:dyDescent="0.2">
      <c r="A27" t="s">
        <v>247</v>
      </c>
      <c r="B27">
        <v>5</v>
      </c>
      <c r="C27">
        <v>4</v>
      </c>
      <c r="D27">
        <v>3</v>
      </c>
      <c r="E27">
        <v>2</v>
      </c>
      <c r="F27">
        <v>1</v>
      </c>
      <c r="G27">
        <v>1</v>
      </c>
    </row>
    <row r="28" spans="1:8" ht="12.75" x14ac:dyDescent="0.2">
      <c r="A28" t="s">
        <v>248</v>
      </c>
      <c r="B28">
        <v>5</v>
      </c>
      <c r="C28">
        <v>4</v>
      </c>
      <c r="D28">
        <v>3</v>
      </c>
      <c r="E28">
        <v>2</v>
      </c>
      <c r="F28">
        <v>1</v>
      </c>
      <c r="G28">
        <v>1</v>
      </c>
    </row>
    <row r="29" spans="1:8" ht="12.75" x14ac:dyDescent="0.2">
      <c r="A29" t="s">
        <v>249</v>
      </c>
      <c r="B29">
        <v>5</v>
      </c>
      <c r="C29">
        <v>4</v>
      </c>
      <c r="D29">
        <v>3</v>
      </c>
      <c r="E29">
        <v>2</v>
      </c>
      <c r="F29">
        <v>1</v>
      </c>
      <c r="G29">
        <v>5</v>
      </c>
    </row>
    <row r="30" spans="1:8" ht="12.75" x14ac:dyDescent="0.2">
      <c r="A30" t="s">
        <v>250</v>
      </c>
      <c r="B30">
        <v>5</v>
      </c>
      <c r="C30">
        <v>4</v>
      </c>
      <c r="D30">
        <v>3</v>
      </c>
      <c r="E30">
        <v>2</v>
      </c>
      <c r="F30">
        <v>1</v>
      </c>
      <c r="G30">
        <v>1</v>
      </c>
    </row>
    <row r="31" spans="1:8" ht="12.75" x14ac:dyDescent="0.2">
      <c r="A31" t="s">
        <v>251</v>
      </c>
      <c r="B31">
        <v>5</v>
      </c>
      <c r="C31">
        <v>4</v>
      </c>
      <c r="D31">
        <v>3</v>
      </c>
      <c r="E31">
        <v>2</v>
      </c>
      <c r="F31">
        <v>1</v>
      </c>
      <c r="G31">
        <v>5</v>
      </c>
    </row>
    <row r="32" spans="1:8" ht="12.75" x14ac:dyDescent="0.2">
      <c r="A32" t="s">
        <v>252</v>
      </c>
      <c r="B32">
        <v>5</v>
      </c>
      <c r="C32">
        <v>4</v>
      </c>
      <c r="D32">
        <v>3</v>
      </c>
      <c r="E32">
        <v>2</v>
      </c>
      <c r="F32">
        <v>1</v>
      </c>
      <c r="G32">
        <v>5</v>
      </c>
    </row>
    <row r="33" spans="1:8" ht="15.75" customHeight="1" thickBot="1" x14ac:dyDescent="0.25"/>
    <row r="34" spans="1:8" ht="12.75" x14ac:dyDescent="0.2">
      <c r="A34" t="s">
        <v>253</v>
      </c>
      <c r="B34" t="s">
        <v>226</v>
      </c>
      <c r="C34" t="s">
        <v>227</v>
      </c>
      <c r="D34" t="s">
        <v>228</v>
      </c>
      <c r="E34" t="s">
        <v>229</v>
      </c>
      <c r="F34" t="s">
        <v>230</v>
      </c>
      <c r="G34" s="42" t="s">
        <v>224</v>
      </c>
      <c r="H34" s="134" t="s">
        <v>410</v>
      </c>
    </row>
    <row r="35" spans="1:8" ht="13.5" thickBot="1" x14ac:dyDescent="0.25">
      <c r="A35" t="s">
        <v>254</v>
      </c>
      <c r="B35">
        <v>5</v>
      </c>
      <c r="C35">
        <v>4</v>
      </c>
      <c r="D35">
        <v>3</v>
      </c>
      <c r="E35">
        <v>2</v>
      </c>
      <c r="F35">
        <v>1</v>
      </c>
      <c r="H35" s="135" t="e">
        <f>((AVERAGE(G35:G41)-F35)/4)*100</f>
        <v>#DIV/0!</v>
      </c>
    </row>
    <row r="36" spans="1:8" ht="12.75" x14ac:dyDescent="0.2">
      <c r="A36" t="s">
        <v>255</v>
      </c>
      <c r="B36">
        <v>5</v>
      </c>
      <c r="C36">
        <v>4</v>
      </c>
      <c r="D36">
        <v>3</v>
      </c>
      <c r="E36">
        <v>2</v>
      </c>
      <c r="F36">
        <v>1</v>
      </c>
    </row>
    <row r="37" spans="1:8" ht="12.75" x14ac:dyDescent="0.2">
      <c r="A37" t="s">
        <v>256</v>
      </c>
      <c r="B37">
        <v>5</v>
      </c>
      <c r="C37">
        <v>4</v>
      </c>
      <c r="D37">
        <v>3</v>
      </c>
      <c r="E37">
        <v>2</v>
      </c>
      <c r="F37">
        <v>1</v>
      </c>
    </row>
    <row r="38" spans="1:8" ht="12.75" x14ac:dyDescent="0.2">
      <c r="A38" t="s">
        <v>257</v>
      </c>
      <c r="B38">
        <v>5</v>
      </c>
      <c r="C38">
        <v>4</v>
      </c>
      <c r="D38">
        <v>3</v>
      </c>
      <c r="E38">
        <v>2</v>
      </c>
      <c r="F38">
        <v>1</v>
      </c>
    </row>
    <row r="39" spans="1:8" ht="12.75" x14ac:dyDescent="0.2">
      <c r="A39" t="s">
        <v>258</v>
      </c>
      <c r="B39">
        <v>5</v>
      </c>
      <c r="C39">
        <v>4</v>
      </c>
      <c r="D39">
        <v>3</v>
      </c>
      <c r="E39">
        <v>2</v>
      </c>
      <c r="F39">
        <v>1</v>
      </c>
    </row>
    <row r="40" spans="1:8" ht="12.75" x14ac:dyDescent="0.2">
      <c r="A40" t="s">
        <v>259</v>
      </c>
      <c r="B40">
        <v>5</v>
      </c>
      <c r="C40">
        <v>4</v>
      </c>
      <c r="D40">
        <v>3</v>
      </c>
      <c r="E40">
        <v>2</v>
      </c>
      <c r="F40">
        <v>1</v>
      </c>
    </row>
    <row r="41" spans="1:8" ht="12.75" x14ac:dyDescent="0.2">
      <c r="A41" t="s">
        <v>260</v>
      </c>
      <c r="B41">
        <v>5</v>
      </c>
      <c r="C41">
        <v>4</v>
      </c>
      <c r="D41">
        <v>3</v>
      </c>
      <c r="E41">
        <v>2</v>
      </c>
      <c r="F41">
        <v>1</v>
      </c>
    </row>
    <row r="42" spans="1:8" ht="15.75" customHeight="1" thickBot="1" x14ac:dyDescent="0.25"/>
    <row r="43" spans="1:8" ht="15.75" customHeight="1" x14ac:dyDescent="0.2">
      <c r="A43" t="s">
        <v>261</v>
      </c>
      <c r="B43" t="s">
        <v>262</v>
      </c>
      <c r="C43" t="s">
        <v>263</v>
      </c>
      <c r="D43" s="42" t="s">
        <v>228</v>
      </c>
      <c r="E43" s="42" t="s">
        <v>229</v>
      </c>
      <c r="F43" s="42" t="s">
        <v>274</v>
      </c>
      <c r="G43" s="42" t="s">
        <v>224</v>
      </c>
      <c r="H43" s="111" t="s">
        <v>410</v>
      </c>
    </row>
    <row r="44" spans="1:8" ht="15.75" customHeight="1" thickBot="1" x14ac:dyDescent="0.25">
      <c r="A44" t="s">
        <v>264</v>
      </c>
      <c r="B44">
        <v>5</v>
      </c>
      <c r="C44">
        <v>4</v>
      </c>
      <c r="D44">
        <v>3</v>
      </c>
      <c r="E44">
        <v>2</v>
      </c>
      <c r="F44">
        <v>1</v>
      </c>
      <c r="H44" s="113" t="e">
        <f>((AVERAGE(G44:G53)-F44)/4)*100</f>
        <v>#DIV/0!</v>
      </c>
    </row>
    <row r="45" spans="1:8" ht="15.75" customHeight="1" x14ac:dyDescent="0.2">
      <c r="A45" t="s">
        <v>265</v>
      </c>
      <c r="B45">
        <v>5</v>
      </c>
      <c r="C45">
        <v>4</v>
      </c>
      <c r="D45">
        <v>3</v>
      </c>
      <c r="E45">
        <v>2</v>
      </c>
      <c r="F45">
        <v>1</v>
      </c>
    </row>
    <row r="46" spans="1:8" ht="15.75" customHeight="1" x14ac:dyDescent="0.2">
      <c r="A46" t="s">
        <v>266</v>
      </c>
      <c r="B46">
        <v>5</v>
      </c>
      <c r="C46">
        <v>4</v>
      </c>
      <c r="D46">
        <v>3</v>
      </c>
      <c r="E46">
        <v>2</v>
      </c>
      <c r="F46">
        <v>1</v>
      </c>
    </row>
    <row r="47" spans="1:8" ht="15.75" customHeight="1" x14ac:dyDescent="0.2">
      <c r="A47" t="s">
        <v>267</v>
      </c>
      <c r="B47">
        <v>5</v>
      </c>
      <c r="C47">
        <v>4</v>
      </c>
      <c r="D47">
        <v>3</v>
      </c>
      <c r="E47">
        <v>2</v>
      </c>
      <c r="F47">
        <v>1</v>
      </c>
    </row>
    <row r="48" spans="1:8" ht="15.75" customHeight="1" x14ac:dyDescent="0.2">
      <c r="A48" t="s">
        <v>268</v>
      </c>
      <c r="B48">
        <v>5</v>
      </c>
      <c r="C48">
        <v>4</v>
      </c>
      <c r="D48">
        <v>3</v>
      </c>
      <c r="E48">
        <v>2</v>
      </c>
      <c r="F48">
        <v>1</v>
      </c>
    </row>
    <row r="49" spans="1:8" ht="15.75" customHeight="1" x14ac:dyDescent="0.2">
      <c r="A49" t="s">
        <v>269</v>
      </c>
      <c r="B49">
        <v>5</v>
      </c>
      <c r="C49">
        <v>4</v>
      </c>
      <c r="D49">
        <v>3</v>
      </c>
      <c r="E49">
        <v>2</v>
      </c>
      <c r="F49">
        <v>1</v>
      </c>
    </row>
    <row r="50" spans="1:8" ht="15.75" customHeight="1" x14ac:dyDescent="0.2">
      <c r="A50" t="s">
        <v>270</v>
      </c>
      <c r="B50">
        <v>5</v>
      </c>
      <c r="C50">
        <v>4</v>
      </c>
      <c r="D50">
        <v>3</v>
      </c>
      <c r="E50">
        <v>2</v>
      </c>
      <c r="F50">
        <v>1</v>
      </c>
    </row>
    <row r="51" spans="1:8" ht="15.75" customHeight="1" x14ac:dyDescent="0.2">
      <c r="A51" t="s">
        <v>271</v>
      </c>
      <c r="B51">
        <v>5</v>
      </c>
      <c r="C51">
        <v>4</v>
      </c>
      <c r="D51">
        <v>3</v>
      </c>
      <c r="E51">
        <v>2</v>
      </c>
      <c r="F51">
        <v>1</v>
      </c>
    </row>
    <row r="52" spans="1:8" ht="15.75" customHeight="1" x14ac:dyDescent="0.2">
      <c r="A52" t="s">
        <v>272</v>
      </c>
      <c r="B52">
        <v>5</v>
      </c>
      <c r="C52">
        <v>4</v>
      </c>
      <c r="D52">
        <v>3</v>
      </c>
      <c r="E52">
        <v>2</v>
      </c>
      <c r="F52">
        <v>1</v>
      </c>
    </row>
    <row r="53" spans="1:8" ht="15.75" customHeight="1" x14ac:dyDescent="0.2">
      <c r="A53" t="s">
        <v>273</v>
      </c>
      <c r="B53">
        <v>5</v>
      </c>
      <c r="C53">
        <v>4</v>
      </c>
      <c r="D53">
        <v>3</v>
      </c>
      <c r="E53">
        <v>2</v>
      </c>
      <c r="F53">
        <v>1</v>
      </c>
    </row>
    <row r="54" spans="1:8" ht="15.75" customHeight="1" thickBot="1" x14ac:dyDescent="0.25"/>
    <row r="55" spans="1:8" ht="12.75" x14ac:dyDescent="0.2">
      <c r="A55" t="s">
        <v>275</v>
      </c>
      <c r="B55" t="s">
        <v>226</v>
      </c>
      <c r="C55" t="s">
        <v>227</v>
      </c>
      <c r="D55" t="s">
        <v>228</v>
      </c>
      <c r="E55" t="s">
        <v>229</v>
      </c>
      <c r="F55" t="s">
        <v>274</v>
      </c>
      <c r="G55" s="66" t="s">
        <v>224</v>
      </c>
      <c r="H55" s="111" t="s">
        <v>410</v>
      </c>
    </row>
    <row r="56" spans="1:8" ht="13.5" thickBot="1" x14ac:dyDescent="0.25">
      <c r="A56" t="s">
        <v>276</v>
      </c>
      <c r="B56">
        <v>5</v>
      </c>
      <c r="C56">
        <v>4</v>
      </c>
      <c r="D56">
        <v>3</v>
      </c>
      <c r="E56">
        <v>2</v>
      </c>
      <c r="F56">
        <v>1</v>
      </c>
      <c r="G56" s="65"/>
      <c r="H56" s="113" t="e">
        <f>((AVERAGE(G56:G64)-F56)/4)*100</f>
        <v>#DIV/0!</v>
      </c>
    </row>
    <row r="57" spans="1:8" ht="12.75" x14ac:dyDescent="0.2">
      <c r="A57" t="s">
        <v>277</v>
      </c>
      <c r="B57">
        <v>5</v>
      </c>
      <c r="C57">
        <v>4</v>
      </c>
      <c r="D57">
        <v>3</v>
      </c>
      <c r="E57">
        <v>2</v>
      </c>
      <c r="F57">
        <v>1</v>
      </c>
      <c r="G57" s="1"/>
    </row>
    <row r="58" spans="1:8" ht="12.75" x14ac:dyDescent="0.2">
      <c r="A58" t="s">
        <v>278</v>
      </c>
      <c r="B58">
        <v>5</v>
      </c>
      <c r="C58">
        <v>4</v>
      </c>
      <c r="D58">
        <v>3</v>
      </c>
      <c r="E58">
        <v>2</v>
      </c>
      <c r="F58">
        <v>1</v>
      </c>
      <c r="G58" s="65"/>
    </row>
    <row r="59" spans="1:8" ht="12.75" x14ac:dyDescent="0.2">
      <c r="A59" t="s">
        <v>279</v>
      </c>
      <c r="B59">
        <v>5</v>
      </c>
      <c r="C59">
        <v>4</v>
      </c>
      <c r="D59">
        <v>3</v>
      </c>
      <c r="E59">
        <v>2</v>
      </c>
      <c r="F59">
        <v>1</v>
      </c>
      <c r="G59" s="1"/>
    </row>
    <row r="60" spans="1:8" ht="12.75" x14ac:dyDescent="0.2">
      <c r="A60" t="s">
        <v>280</v>
      </c>
      <c r="B60">
        <v>5</v>
      </c>
      <c r="C60">
        <v>4</v>
      </c>
      <c r="D60">
        <v>3</v>
      </c>
      <c r="E60">
        <v>2</v>
      </c>
      <c r="F60">
        <v>1</v>
      </c>
      <c r="G60" s="65"/>
    </row>
    <row r="61" spans="1:8" ht="12.75" x14ac:dyDescent="0.2">
      <c r="A61" t="s">
        <v>281</v>
      </c>
      <c r="B61">
        <v>5</v>
      </c>
      <c r="C61">
        <v>4</v>
      </c>
      <c r="D61">
        <v>3</v>
      </c>
      <c r="E61">
        <v>2</v>
      </c>
      <c r="F61">
        <v>1</v>
      </c>
      <c r="G61" s="1"/>
    </row>
    <row r="62" spans="1:8" ht="12.75" x14ac:dyDescent="0.2">
      <c r="A62" t="s">
        <v>282</v>
      </c>
      <c r="B62">
        <v>5</v>
      </c>
      <c r="C62">
        <v>4</v>
      </c>
      <c r="D62">
        <v>3</v>
      </c>
      <c r="E62">
        <v>2</v>
      </c>
      <c r="F62">
        <v>1</v>
      </c>
      <c r="G62" s="65"/>
    </row>
    <row r="63" spans="1:8" ht="12.75" x14ac:dyDescent="0.2">
      <c r="A63" t="s">
        <v>283</v>
      </c>
      <c r="B63">
        <v>5</v>
      </c>
      <c r="C63">
        <v>4</v>
      </c>
      <c r="D63">
        <v>3</v>
      </c>
      <c r="E63">
        <v>2</v>
      </c>
      <c r="F63">
        <v>1</v>
      </c>
      <c r="G63" s="1"/>
    </row>
    <row r="64" spans="1:8" ht="12.75" x14ac:dyDescent="0.2">
      <c r="A64" t="s">
        <v>284</v>
      </c>
      <c r="B64">
        <v>5</v>
      </c>
      <c r="C64">
        <v>4</v>
      </c>
      <c r="D64">
        <v>3</v>
      </c>
      <c r="E64">
        <v>2</v>
      </c>
      <c r="F64">
        <v>1</v>
      </c>
      <c r="G64" s="65"/>
    </row>
    <row r="65" spans="1:8" ht="15.75" customHeight="1" thickBot="1" x14ac:dyDescent="0.25">
      <c r="G65" s="5"/>
    </row>
    <row r="66" spans="1:8" ht="12.75" x14ac:dyDescent="0.2">
      <c r="A66" t="s">
        <v>285</v>
      </c>
      <c r="B66" t="s">
        <v>226</v>
      </c>
      <c r="C66" t="s">
        <v>227</v>
      </c>
      <c r="D66" t="s">
        <v>228</v>
      </c>
      <c r="E66" t="s">
        <v>229</v>
      </c>
      <c r="F66" t="s">
        <v>274</v>
      </c>
      <c r="G66" s="66" t="s">
        <v>224</v>
      </c>
      <c r="H66" s="111" t="s">
        <v>410</v>
      </c>
    </row>
    <row r="67" spans="1:8" ht="13.5" thickBot="1" x14ac:dyDescent="0.25">
      <c r="A67" t="s">
        <v>286</v>
      </c>
      <c r="B67">
        <v>5</v>
      </c>
      <c r="C67">
        <v>4</v>
      </c>
      <c r="D67">
        <v>3</v>
      </c>
      <c r="E67">
        <v>2</v>
      </c>
      <c r="F67">
        <v>1</v>
      </c>
      <c r="G67" s="65"/>
      <c r="H67" s="113" t="e">
        <f>((AVERAGE(G67:G71)-F67)/4)*100</f>
        <v>#DIV/0!</v>
      </c>
    </row>
    <row r="68" spans="1:8" ht="12.75" x14ac:dyDescent="0.2">
      <c r="A68" t="s">
        <v>287</v>
      </c>
      <c r="B68">
        <v>5</v>
      </c>
      <c r="C68">
        <v>4</v>
      </c>
      <c r="D68">
        <v>3</v>
      </c>
      <c r="E68">
        <v>2</v>
      </c>
      <c r="F68">
        <v>1</v>
      </c>
      <c r="G68" s="1"/>
    </row>
    <row r="69" spans="1:8" ht="12.75" x14ac:dyDescent="0.2">
      <c r="A69" t="s">
        <v>288</v>
      </c>
      <c r="B69">
        <v>5</v>
      </c>
      <c r="C69">
        <v>4</v>
      </c>
      <c r="D69">
        <v>3</v>
      </c>
      <c r="E69">
        <v>2</v>
      </c>
      <c r="F69">
        <v>1</v>
      </c>
      <c r="G69" s="65"/>
    </row>
    <row r="70" spans="1:8" ht="12.75" x14ac:dyDescent="0.2">
      <c r="A70" t="s">
        <v>289</v>
      </c>
      <c r="B70">
        <v>5</v>
      </c>
      <c r="C70">
        <v>4</v>
      </c>
      <c r="D70">
        <v>3</v>
      </c>
      <c r="E70">
        <v>2</v>
      </c>
      <c r="F70">
        <v>1</v>
      </c>
      <c r="G70" s="1"/>
    </row>
    <row r="71" spans="1:8" ht="12.75" x14ac:dyDescent="0.2">
      <c r="A71" t="s">
        <v>290</v>
      </c>
      <c r="B71">
        <v>5</v>
      </c>
      <c r="C71">
        <v>4</v>
      </c>
      <c r="D71">
        <v>3</v>
      </c>
      <c r="E71">
        <v>2</v>
      </c>
      <c r="F71">
        <v>1</v>
      </c>
      <c r="G71" s="65"/>
    </row>
    <row r="72" spans="1:8" ht="15.75" customHeight="1" thickBot="1" x14ac:dyDescent="0.25"/>
    <row r="73" spans="1:8" ht="15.75" customHeight="1" x14ac:dyDescent="0.2">
      <c r="A73" t="s">
        <v>291</v>
      </c>
      <c r="B73" t="s">
        <v>239</v>
      </c>
      <c r="C73" t="s">
        <v>240</v>
      </c>
      <c r="D73" t="s">
        <v>241</v>
      </c>
      <c r="E73" t="s">
        <v>242</v>
      </c>
      <c r="F73" t="s">
        <v>243</v>
      </c>
      <c r="G73" s="66" t="s">
        <v>224</v>
      </c>
      <c r="H73" s="134" t="s">
        <v>410</v>
      </c>
    </row>
    <row r="74" spans="1:8" ht="15.75" customHeight="1" thickBot="1" x14ac:dyDescent="0.25">
      <c r="A74" t="s">
        <v>292</v>
      </c>
      <c r="B74">
        <v>5</v>
      </c>
      <c r="C74">
        <v>4</v>
      </c>
      <c r="D74">
        <v>3</v>
      </c>
      <c r="E74">
        <v>2</v>
      </c>
      <c r="F74">
        <v>1</v>
      </c>
      <c r="G74" s="65"/>
      <c r="H74" s="135" t="e">
        <f>((AVERAGE(G74:G81)-F74)/4)*100</f>
        <v>#DIV/0!</v>
      </c>
    </row>
    <row r="75" spans="1:8" ht="15.75" customHeight="1" x14ac:dyDescent="0.2">
      <c r="A75" t="s">
        <v>293</v>
      </c>
      <c r="B75">
        <v>5</v>
      </c>
      <c r="C75">
        <v>4</v>
      </c>
      <c r="D75">
        <v>3</v>
      </c>
      <c r="E75">
        <v>2</v>
      </c>
      <c r="F75">
        <v>1</v>
      </c>
      <c r="G75" s="1"/>
    </row>
    <row r="76" spans="1:8" ht="15.75" customHeight="1" x14ac:dyDescent="0.2">
      <c r="A76" t="s">
        <v>294</v>
      </c>
      <c r="B76">
        <v>5</v>
      </c>
      <c r="C76">
        <v>4</v>
      </c>
      <c r="D76">
        <v>3</v>
      </c>
      <c r="E76">
        <v>2</v>
      </c>
      <c r="F76">
        <v>1</v>
      </c>
      <c r="G76" s="65"/>
    </row>
    <row r="77" spans="1:8" ht="15.75" customHeight="1" x14ac:dyDescent="0.2">
      <c r="A77" t="s">
        <v>295</v>
      </c>
      <c r="B77">
        <v>5</v>
      </c>
      <c r="C77">
        <v>4</v>
      </c>
      <c r="D77">
        <v>3</v>
      </c>
      <c r="E77">
        <v>2</v>
      </c>
      <c r="F77">
        <v>1</v>
      </c>
      <c r="G77" s="1"/>
    </row>
    <row r="78" spans="1:8" ht="15.75" customHeight="1" x14ac:dyDescent="0.2">
      <c r="A78" t="s">
        <v>296</v>
      </c>
      <c r="B78">
        <v>5</v>
      </c>
      <c r="C78">
        <v>4</v>
      </c>
      <c r="D78">
        <v>3</v>
      </c>
      <c r="E78">
        <v>2</v>
      </c>
      <c r="F78">
        <v>1</v>
      </c>
      <c r="G78" s="65"/>
    </row>
    <row r="79" spans="1:8" ht="15.75" customHeight="1" x14ac:dyDescent="0.2">
      <c r="A79" t="s">
        <v>297</v>
      </c>
      <c r="B79">
        <v>5</v>
      </c>
      <c r="C79">
        <v>4</v>
      </c>
      <c r="D79">
        <v>3</v>
      </c>
      <c r="E79">
        <v>2</v>
      </c>
      <c r="F79">
        <v>1</v>
      </c>
      <c r="G79" s="1"/>
    </row>
    <row r="80" spans="1:8" ht="15.75" customHeight="1" x14ac:dyDescent="0.2">
      <c r="A80" t="s">
        <v>298</v>
      </c>
      <c r="B80">
        <v>5</v>
      </c>
      <c r="C80">
        <v>4</v>
      </c>
      <c r="D80">
        <v>3</v>
      </c>
      <c r="E80">
        <v>2</v>
      </c>
      <c r="F80">
        <v>1</v>
      </c>
      <c r="G80" s="65"/>
    </row>
    <row r="81" spans="1:7" ht="15.75" customHeight="1" x14ac:dyDescent="0.2">
      <c r="A81" t="s">
        <v>299</v>
      </c>
      <c r="B81">
        <v>5</v>
      </c>
      <c r="C81">
        <v>4</v>
      </c>
      <c r="D81">
        <v>3</v>
      </c>
      <c r="E81">
        <v>2</v>
      </c>
      <c r="F81">
        <v>1</v>
      </c>
      <c r="G81" s="1"/>
    </row>
    <row r="83" spans="1:7" ht="15.75" customHeight="1" x14ac:dyDescent="0.2">
      <c r="A83" s="67" t="s">
        <v>300</v>
      </c>
      <c r="B83" s="136" t="s">
        <v>224</v>
      </c>
    </row>
    <row r="84" spans="1:7" ht="43.5" customHeight="1" x14ac:dyDescent="0.2">
      <c r="A84" s="55" t="s">
        <v>301</v>
      </c>
      <c r="B84" s="137">
        <v>0</v>
      </c>
    </row>
  </sheetData>
  <mergeCells count="1">
    <mergeCell ref="B5:G5"/>
  </mergeCells>
  <dataValidations count="2">
    <dataValidation type="list" allowBlank="1" showInputMessage="1" showErrorMessage="1" sqref="G9:G12 G15:G21 G24:G32 G35:G41 G44:G53 G56:G65 G67:G71 G74:G81" xr:uid="{7DCC0658-1A60-40F2-B84C-437A45BD8CB7}">
      <formula1>"1,2,3,4,5"</formula1>
    </dataValidation>
    <dataValidation type="whole" allowBlank="1" showInputMessage="1" showErrorMessage="1" error="Value can only be between 0 and 100. 0 represents no recovery, 100 represents full recovery_x000a_" sqref="B84" xr:uid="{A690483C-84DF-4D48-BAE1-674409CCB07D}">
      <formula1>0</formula1>
      <formula2>100</formula2>
    </dataValidation>
  </dataValidations>
  <pageMargins left="0.7" right="0.7" top="0.75" bottom="0.75" header="0.3" footer="0.3"/>
  <tableParts count="8">
    <tablePart r:id="rId1"/>
    <tablePart r:id="rId2"/>
    <tablePart r:id="rId3"/>
    <tablePart r:id="rId4"/>
    <tablePart r:id="rId5"/>
    <tablePart r:id="rId6"/>
    <tablePart r:id="rId7"/>
    <tablePart r:id="rId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59"/>
  <sheetViews>
    <sheetView topLeftCell="A41" zoomScaleNormal="100" workbookViewId="0">
      <selection activeCell="B65" sqref="B65"/>
    </sheetView>
  </sheetViews>
  <sheetFormatPr defaultColWidth="12.5703125" defaultRowHeight="15.75" customHeight="1" x14ac:dyDescent="0.2"/>
  <cols>
    <col min="1" max="1" width="18.42578125" customWidth="1"/>
    <col min="2" max="2" width="36.5703125" customWidth="1"/>
    <col min="3" max="3" width="14.140625" customWidth="1"/>
    <col min="4" max="4" width="22.5703125" customWidth="1"/>
    <col min="5" max="5" width="18.28515625" customWidth="1"/>
    <col min="6" max="6" width="15.5703125" customWidth="1"/>
    <col min="7" max="7" width="17.5703125" customWidth="1"/>
    <col min="8" max="8" width="27.85546875" customWidth="1"/>
    <col min="9" max="9" width="28.85546875" customWidth="1"/>
  </cols>
  <sheetData>
    <row r="1" spans="1:9" ht="15.75" customHeight="1" x14ac:dyDescent="0.2">
      <c r="A1" s="1" t="s">
        <v>48</v>
      </c>
    </row>
    <row r="2" spans="1:9" ht="15.75" customHeight="1" thickBot="1" x14ac:dyDescent="0.25">
      <c r="A2" s="9" t="s">
        <v>387</v>
      </c>
      <c r="B2" s="43" t="s">
        <v>390</v>
      </c>
      <c r="C2" s="9" t="s">
        <v>388</v>
      </c>
      <c r="D2" s="43" t="s">
        <v>389</v>
      </c>
    </row>
    <row r="3" spans="1:9" ht="15.75" customHeight="1" thickBot="1" x14ac:dyDescent="0.25">
      <c r="A3" s="102" t="s">
        <v>1</v>
      </c>
      <c r="B3" s="104" t="str">
        <f>'1_patient_info'!B3</f>
        <v>##</v>
      </c>
      <c r="C3" s="102" t="s">
        <v>5</v>
      </c>
      <c r="D3" s="104" t="s">
        <v>313</v>
      </c>
    </row>
    <row r="4" spans="1:9" ht="15.75" customHeight="1" thickBot="1" x14ac:dyDescent="0.25">
      <c r="A4" s="42"/>
    </row>
    <row r="5" spans="1:9" ht="50.45" customHeight="1" x14ac:dyDescent="0.2">
      <c r="A5" s="115" t="s">
        <v>369</v>
      </c>
      <c r="B5" s="116" t="s">
        <v>313</v>
      </c>
      <c r="C5" s="114" t="s">
        <v>368</v>
      </c>
      <c r="D5" s="116" t="s">
        <v>313</v>
      </c>
    </row>
    <row r="6" spans="1:9" ht="20.45" customHeight="1" x14ac:dyDescent="0.2">
      <c r="A6" s="1"/>
      <c r="B6" s="117"/>
      <c r="C6" s="3"/>
      <c r="D6" s="3"/>
    </row>
    <row r="7" spans="1:9" ht="15.75" customHeight="1" x14ac:dyDescent="0.2">
      <c r="A7" s="1"/>
      <c r="B7" s="42"/>
      <c r="C7" s="42"/>
      <c r="D7" s="42"/>
    </row>
    <row r="8" spans="1:9" ht="15.75" customHeight="1" x14ac:dyDescent="0.2">
      <c r="A8" s="2" t="s">
        <v>303</v>
      </c>
    </row>
    <row r="9" spans="1:9" ht="32.1" customHeight="1" x14ac:dyDescent="0.2">
      <c r="A9" s="69" t="s">
        <v>54</v>
      </c>
      <c r="B9" s="3" t="s">
        <v>328</v>
      </c>
      <c r="C9" s="69" t="s">
        <v>304</v>
      </c>
      <c r="D9" s="69" t="s">
        <v>305</v>
      </c>
      <c r="E9" s="69" t="s">
        <v>306</v>
      </c>
      <c r="F9" s="69" t="s">
        <v>307</v>
      </c>
      <c r="G9" s="69" t="s">
        <v>308</v>
      </c>
      <c r="H9" s="55" t="s">
        <v>309</v>
      </c>
      <c r="I9" s="55" t="s">
        <v>312</v>
      </c>
    </row>
    <row r="10" spans="1:9" ht="15.75" customHeight="1" x14ac:dyDescent="0.2">
      <c r="A10" s="1">
        <v>1</v>
      </c>
    </row>
    <row r="11" spans="1:9" ht="15.75" customHeight="1" x14ac:dyDescent="0.2">
      <c r="A11" s="1">
        <v>2</v>
      </c>
    </row>
    <row r="12" spans="1:9" ht="15.75" customHeight="1" x14ac:dyDescent="0.2">
      <c r="A12">
        <v>3</v>
      </c>
    </row>
    <row r="13" spans="1:9" ht="39.950000000000003" customHeight="1" x14ac:dyDescent="0.2">
      <c r="A13" s="3">
        <v>4</v>
      </c>
    </row>
    <row r="14" spans="1:9" ht="48" customHeight="1" x14ac:dyDescent="0.2">
      <c r="A14" s="1">
        <v>5</v>
      </c>
      <c r="B14" s="3"/>
      <c r="C14" s="3"/>
      <c r="D14" s="3"/>
      <c r="E14" s="3"/>
      <c r="F14" s="3"/>
      <c r="G14" s="3"/>
    </row>
    <row r="15" spans="1:9" ht="15.75" customHeight="1" x14ac:dyDescent="0.2">
      <c r="A15" s="9"/>
    </row>
    <row r="16" spans="1:9" ht="15.75" customHeight="1" x14ac:dyDescent="0.2">
      <c r="A16" s="68" t="s">
        <v>310</v>
      </c>
      <c r="B16" s="42" t="s">
        <v>329</v>
      </c>
      <c r="C16" s="42" t="s">
        <v>329</v>
      </c>
      <c r="D16">
        <f>SUM(D10:D14)</f>
        <v>0</v>
      </c>
      <c r="E16">
        <f>SUM(E10:E14)</f>
        <v>0</v>
      </c>
      <c r="F16">
        <f t="shared" ref="F16:I16" si="0">SUM(F10:F14)</f>
        <v>0</v>
      </c>
      <c r="G16">
        <f t="shared" si="0"/>
        <v>0</v>
      </c>
      <c r="H16">
        <f t="shared" si="0"/>
        <v>0</v>
      </c>
      <c r="I16">
        <f t="shared" si="0"/>
        <v>0</v>
      </c>
    </row>
    <row r="17" spans="1:9" ht="15.75" customHeight="1" x14ac:dyDescent="0.2">
      <c r="A17" s="68" t="s">
        <v>311</v>
      </c>
      <c r="B17" s="42" t="s">
        <v>329</v>
      </c>
      <c r="C17" s="42" t="s">
        <v>329</v>
      </c>
      <c r="D17">
        <f>D16/5</f>
        <v>0</v>
      </c>
      <c r="E17">
        <f t="shared" ref="E17:I17" si="1">E16/5</f>
        <v>0</v>
      </c>
      <c r="F17">
        <f t="shared" si="1"/>
        <v>0</v>
      </c>
      <c r="G17">
        <f t="shared" si="1"/>
        <v>0</v>
      </c>
      <c r="H17">
        <f t="shared" si="1"/>
        <v>0</v>
      </c>
      <c r="I17">
        <f t="shared" si="1"/>
        <v>0</v>
      </c>
    </row>
    <row r="18" spans="1:9" ht="15.75" customHeight="1" x14ac:dyDescent="0.2">
      <c r="A18" s="9"/>
    </row>
    <row r="19" spans="1:9" ht="15.75" customHeight="1" x14ac:dyDescent="0.2">
      <c r="A19" s="9"/>
    </row>
    <row r="20" spans="1:9" ht="15.75" customHeight="1" x14ac:dyDescent="0.2">
      <c r="A20" s="2" t="s">
        <v>314</v>
      </c>
      <c r="B20" s="2" t="s">
        <v>27</v>
      </c>
      <c r="C20" s="2" t="s">
        <v>304</v>
      </c>
      <c r="D20" s="1"/>
      <c r="E20" s="1"/>
      <c r="F20" s="1"/>
      <c r="G20" s="1"/>
    </row>
    <row r="21" spans="1:9" ht="15.75" customHeight="1" x14ac:dyDescent="0.2">
      <c r="A21" s="166" t="s">
        <v>315</v>
      </c>
      <c r="B21" s="166"/>
      <c r="C21" s="168"/>
      <c r="D21" s="1"/>
      <c r="E21" s="1"/>
      <c r="F21" s="1"/>
      <c r="G21" s="1"/>
    </row>
    <row r="22" spans="1:9" ht="15.75" customHeight="1" x14ac:dyDescent="0.2">
      <c r="A22" s="166"/>
      <c r="B22" s="166"/>
      <c r="C22" s="168"/>
    </row>
    <row r="23" spans="1:9" ht="15.75" customHeight="1" x14ac:dyDescent="0.2">
      <c r="A23" s="166"/>
      <c r="B23" s="166"/>
      <c r="C23" s="168"/>
    </row>
    <row r="24" spans="1:9" ht="15.75" customHeight="1" x14ac:dyDescent="0.2">
      <c r="A24" s="166" t="s">
        <v>316</v>
      </c>
      <c r="B24" s="166"/>
      <c r="C24" s="156"/>
    </row>
    <row r="25" spans="1:9" ht="15.75" customHeight="1" x14ac:dyDescent="0.2">
      <c r="A25" s="166"/>
      <c r="B25" s="166"/>
      <c r="C25" s="156"/>
    </row>
    <row r="26" spans="1:9" ht="15.75" customHeight="1" x14ac:dyDescent="0.2">
      <c r="A26" s="166"/>
      <c r="B26" s="166"/>
      <c r="C26" s="156"/>
    </row>
    <row r="27" spans="1:9" ht="15.75" customHeight="1" x14ac:dyDescent="0.2">
      <c r="A27" s="161" t="s">
        <v>317</v>
      </c>
      <c r="B27" s="167"/>
      <c r="C27" s="156"/>
    </row>
    <row r="28" spans="1:9" ht="15.75" customHeight="1" x14ac:dyDescent="0.2">
      <c r="A28" s="161"/>
      <c r="B28" s="167"/>
      <c r="C28" s="156"/>
    </row>
    <row r="29" spans="1:9" ht="15.75" customHeight="1" x14ac:dyDescent="0.2">
      <c r="A29" s="161"/>
      <c r="B29" s="167"/>
      <c r="C29" s="156"/>
    </row>
    <row r="31" spans="1:9" ht="15.75" customHeight="1" x14ac:dyDescent="0.2">
      <c r="A31" s="72" t="s">
        <v>318</v>
      </c>
      <c r="B31" s="44"/>
      <c r="C31" s="44"/>
    </row>
    <row r="32" spans="1:9" ht="15.75" customHeight="1" x14ac:dyDescent="0.2">
      <c r="A32" s="161" t="s">
        <v>319</v>
      </c>
      <c r="B32" s="167"/>
      <c r="C32" s="168"/>
    </row>
    <row r="33" spans="1:4" ht="15.75" customHeight="1" x14ac:dyDescent="0.2">
      <c r="A33" s="161"/>
      <c r="B33" s="167"/>
      <c r="C33" s="168"/>
    </row>
    <row r="34" spans="1:4" ht="15.75" customHeight="1" x14ac:dyDescent="0.2">
      <c r="A34" s="161"/>
      <c r="B34" s="167"/>
      <c r="C34" s="168"/>
    </row>
    <row r="35" spans="1:4" ht="15.75" customHeight="1" x14ac:dyDescent="0.2">
      <c r="A35" s="161" t="s">
        <v>320</v>
      </c>
      <c r="B35" s="167"/>
      <c r="C35" s="156"/>
    </row>
    <row r="36" spans="1:4" ht="15.75" customHeight="1" x14ac:dyDescent="0.2">
      <c r="A36" s="161"/>
      <c r="B36" s="167"/>
      <c r="C36" s="156"/>
    </row>
    <row r="37" spans="1:4" ht="15.75" customHeight="1" x14ac:dyDescent="0.2">
      <c r="A37" s="161"/>
      <c r="B37" s="167"/>
      <c r="C37" s="156"/>
    </row>
    <row r="38" spans="1:4" ht="15.75" customHeight="1" x14ac:dyDescent="0.2">
      <c r="A38" s="161" t="s">
        <v>321</v>
      </c>
      <c r="B38" s="167"/>
      <c r="C38" s="156"/>
    </row>
    <row r="39" spans="1:4" ht="15.75" customHeight="1" x14ac:dyDescent="0.2">
      <c r="A39" s="161"/>
      <c r="B39" s="167"/>
      <c r="C39" s="156"/>
    </row>
    <row r="40" spans="1:4" ht="15.75" customHeight="1" x14ac:dyDescent="0.2">
      <c r="A40" s="161"/>
      <c r="B40" s="167"/>
      <c r="C40" s="156"/>
    </row>
    <row r="43" spans="1:4" ht="15.75" customHeight="1" x14ac:dyDescent="0.2">
      <c r="A43" s="72" t="s">
        <v>322</v>
      </c>
      <c r="B43" s="44"/>
      <c r="C43" s="44"/>
      <c r="D43" s="44"/>
    </row>
    <row r="44" spans="1:4" ht="15.75" customHeight="1" x14ac:dyDescent="0.2">
      <c r="A44" s="161" t="s">
        <v>323</v>
      </c>
      <c r="B44" s="161"/>
      <c r="C44" s="167"/>
      <c r="D44" s="44"/>
    </row>
    <row r="45" spans="1:4" ht="15.75" customHeight="1" x14ac:dyDescent="0.2">
      <c r="A45" s="161"/>
      <c r="B45" s="167"/>
      <c r="C45" s="167"/>
      <c r="D45" s="44"/>
    </row>
    <row r="46" spans="1:4" ht="15.75" customHeight="1" x14ac:dyDescent="0.2">
      <c r="A46" s="161"/>
      <c r="B46" s="167"/>
      <c r="C46" s="167"/>
      <c r="D46" s="44"/>
    </row>
    <row r="47" spans="1:4" ht="15.75" customHeight="1" x14ac:dyDescent="0.2">
      <c r="A47" s="161" t="s">
        <v>324</v>
      </c>
      <c r="B47" s="167"/>
      <c r="C47" s="167"/>
      <c r="D47" s="44"/>
    </row>
    <row r="48" spans="1:4" ht="15.75" customHeight="1" x14ac:dyDescent="0.2">
      <c r="A48" s="161"/>
      <c r="B48" s="167"/>
      <c r="C48" s="167"/>
      <c r="D48" s="44"/>
    </row>
    <row r="49" spans="1:4" ht="15.75" customHeight="1" x14ac:dyDescent="0.2">
      <c r="A49" s="161"/>
      <c r="B49" s="167"/>
      <c r="C49" s="167"/>
      <c r="D49" s="44"/>
    </row>
    <row r="50" spans="1:4" ht="15.75" customHeight="1" x14ac:dyDescent="0.2">
      <c r="A50" s="161" t="s">
        <v>325</v>
      </c>
      <c r="B50" s="167"/>
      <c r="C50" s="167"/>
      <c r="D50" s="44"/>
    </row>
    <row r="51" spans="1:4" ht="15.75" customHeight="1" x14ac:dyDescent="0.2">
      <c r="A51" s="161"/>
      <c r="B51" s="167"/>
      <c r="C51" s="167"/>
      <c r="D51" s="44"/>
    </row>
    <row r="52" spans="1:4" ht="15.75" customHeight="1" thickBot="1" x14ac:dyDescent="0.25">
      <c r="A52" s="161"/>
      <c r="B52" s="167"/>
      <c r="C52" s="167"/>
      <c r="D52" s="44"/>
    </row>
    <row r="53" spans="1:4" ht="15.75" customHeight="1" thickBot="1" x14ac:dyDescent="0.25">
      <c r="A53" s="179" t="s">
        <v>326</v>
      </c>
      <c r="B53" s="180"/>
      <c r="C53" s="73"/>
      <c r="D53" s="17"/>
    </row>
    <row r="54" spans="1:4" ht="15.75" customHeight="1" x14ac:dyDescent="0.2">
      <c r="A54" s="177" t="s">
        <v>302</v>
      </c>
      <c r="B54" s="169"/>
      <c r="C54" s="170"/>
      <c r="D54" s="171"/>
    </row>
    <row r="55" spans="1:4" ht="15.75" customHeight="1" x14ac:dyDescent="0.2">
      <c r="A55" s="177"/>
      <c r="B55" s="172"/>
      <c r="C55" s="167"/>
      <c r="D55" s="173"/>
    </row>
    <row r="56" spans="1:4" ht="15.75" customHeight="1" thickBot="1" x14ac:dyDescent="0.25">
      <c r="A56" s="177"/>
      <c r="B56" s="174"/>
      <c r="C56" s="175"/>
      <c r="D56" s="176"/>
    </row>
    <row r="57" spans="1:4" ht="15.75" customHeight="1" x14ac:dyDescent="0.2">
      <c r="A57" s="177" t="s">
        <v>327</v>
      </c>
      <c r="B57" s="169"/>
      <c r="C57" s="170"/>
      <c r="D57" s="171"/>
    </row>
    <row r="58" spans="1:4" ht="15.75" customHeight="1" x14ac:dyDescent="0.2">
      <c r="A58" s="177"/>
      <c r="B58" s="172"/>
      <c r="C58" s="167"/>
      <c r="D58" s="173"/>
    </row>
    <row r="59" spans="1:4" ht="15.75" customHeight="1" thickBot="1" x14ac:dyDescent="0.25">
      <c r="A59" s="178"/>
      <c r="B59" s="174"/>
      <c r="C59" s="175"/>
      <c r="D59" s="176"/>
    </row>
  </sheetData>
  <mergeCells count="32">
    <mergeCell ref="C21:C23"/>
    <mergeCell ref="C24:C26"/>
    <mergeCell ref="C27:C29"/>
    <mergeCell ref="A32:A34"/>
    <mergeCell ref="A35:A37"/>
    <mergeCell ref="A21:A23"/>
    <mergeCell ref="A24:A26"/>
    <mergeCell ref="A27:A29"/>
    <mergeCell ref="B21:B23"/>
    <mergeCell ref="B24:B26"/>
    <mergeCell ref="B27:B29"/>
    <mergeCell ref="B32:B34"/>
    <mergeCell ref="B35:B37"/>
    <mergeCell ref="B54:D56"/>
    <mergeCell ref="B57:D59"/>
    <mergeCell ref="A54:A56"/>
    <mergeCell ref="A57:A59"/>
    <mergeCell ref="B44:B46"/>
    <mergeCell ref="B47:B49"/>
    <mergeCell ref="B50:B52"/>
    <mergeCell ref="A53:B53"/>
    <mergeCell ref="C44:C46"/>
    <mergeCell ref="C47:C49"/>
    <mergeCell ref="C50:C52"/>
    <mergeCell ref="A47:A49"/>
    <mergeCell ref="A50:A52"/>
    <mergeCell ref="B38:B40"/>
    <mergeCell ref="C32:C34"/>
    <mergeCell ref="C35:C37"/>
    <mergeCell ref="C38:C40"/>
    <mergeCell ref="A44:A46"/>
    <mergeCell ref="A38:A40"/>
  </mergeCells>
  <phoneticPr fontId="4" type="noConversion"/>
  <dataValidations count="1">
    <dataValidation type="list" allowBlank="1" showInputMessage="1" showErrorMessage="1" sqref="B18:E19 B15:E15" xr:uid="{7E617423-6F99-46BB-8B20-02F29E1C8BB5}">
      <formula1>"1,2,3,4,5,6,7,8,9,10"</formula1>
    </dataValidation>
  </dataValidations>
  <hyperlinks>
    <hyperlink ref="D2" r:id="rId1" xr:uid="{7AAE9789-7762-4326-BE77-5A5E028199E4}"/>
    <hyperlink ref="B2" r:id="rId2" xr:uid="{F78C44A5-97EB-40BB-9CD5-FEE98261F6CE}"/>
  </hyperlinks>
  <pageMargins left="0.7" right="0.7" top="0.75" bottom="0.75" header="0.3" footer="0.3"/>
  <pageSetup orientation="portrait"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H21"/>
  <sheetViews>
    <sheetView workbookViewId="0">
      <selection activeCell="D5" sqref="D5:E11"/>
    </sheetView>
  </sheetViews>
  <sheetFormatPr defaultColWidth="12.5703125" defaultRowHeight="15.75" customHeight="1" x14ac:dyDescent="0.2"/>
  <cols>
    <col min="1" max="1" width="20.85546875" bestFit="1" customWidth="1"/>
    <col min="2" max="2" width="73.42578125" customWidth="1"/>
    <col min="3" max="3" width="21.42578125" bestFit="1" customWidth="1"/>
    <col min="4" max="4" width="16.140625" customWidth="1"/>
    <col min="5" max="5" width="40.85546875" customWidth="1"/>
    <col min="6" max="6" width="22.5703125" customWidth="1"/>
  </cols>
  <sheetData>
    <row r="1" spans="1:8" ht="15.75" customHeight="1" x14ac:dyDescent="0.2">
      <c r="A1" s="29" t="s">
        <v>58</v>
      </c>
    </row>
    <row r="2" spans="1:8" ht="15.75" customHeight="1" thickBot="1" x14ac:dyDescent="0.25">
      <c r="A2" s="9"/>
    </row>
    <row r="3" spans="1:8" ht="15.75" customHeight="1" thickBot="1" x14ac:dyDescent="0.25">
      <c r="A3" s="7" t="s">
        <v>1</v>
      </c>
      <c r="B3" s="71" t="str">
        <f>'1_patient_info'!B3</f>
        <v>##</v>
      </c>
      <c r="C3" s="8" t="s">
        <v>5</v>
      </c>
      <c r="D3" s="70" t="s">
        <v>313</v>
      </c>
      <c r="E3" s="12" t="s">
        <v>49</v>
      </c>
      <c r="F3" s="28" t="str">
        <f>'1_patient_info'!B6</f>
        <v>Right</v>
      </c>
    </row>
    <row r="4" spans="1:8" ht="15.75" customHeight="1" thickBot="1" x14ac:dyDescent="0.25"/>
    <row r="5" spans="1:8" ht="15.75" customHeight="1" thickBot="1" x14ac:dyDescent="0.25">
      <c r="A5" s="19" t="s">
        <v>379</v>
      </c>
      <c r="B5" s="20"/>
      <c r="D5" s="107" t="s">
        <v>380</v>
      </c>
      <c r="E5" s="20"/>
      <c r="G5" s="105" t="s">
        <v>383</v>
      </c>
      <c r="H5" s="106"/>
    </row>
    <row r="6" spans="1:8" ht="15.75" customHeight="1" x14ac:dyDescent="0.2">
      <c r="A6" s="21">
        <v>0</v>
      </c>
      <c r="B6" s="24" t="s">
        <v>59</v>
      </c>
      <c r="D6" s="108" t="s">
        <v>436</v>
      </c>
      <c r="E6" s="132" t="s">
        <v>437</v>
      </c>
      <c r="G6" s="181" t="s">
        <v>386</v>
      </c>
      <c r="H6" s="182"/>
    </row>
    <row r="7" spans="1:8" ht="15.75" customHeight="1" x14ac:dyDescent="0.2">
      <c r="A7" s="21">
        <v>1</v>
      </c>
      <c r="B7" s="24" t="s">
        <v>60</v>
      </c>
      <c r="D7" s="108" t="s">
        <v>374</v>
      </c>
      <c r="E7" s="132" t="s">
        <v>438</v>
      </c>
      <c r="G7" s="181"/>
      <c r="H7" s="182"/>
    </row>
    <row r="8" spans="1:8" ht="15.75" customHeight="1" x14ac:dyDescent="0.2">
      <c r="A8" s="23" t="s">
        <v>61</v>
      </c>
      <c r="B8" s="24" t="s">
        <v>62</v>
      </c>
      <c r="D8" s="108" t="s">
        <v>381</v>
      </c>
      <c r="E8" s="132" t="s">
        <v>439</v>
      </c>
      <c r="G8" s="181"/>
      <c r="H8" s="182"/>
    </row>
    <row r="9" spans="1:8" ht="15.75" customHeight="1" x14ac:dyDescent="0.2">
      <c r="A9" s="21">
        <v>2</v>
      </c>
      <c r="B9" s="24" t="s">
        <v>63</v>
      </c>
      <c r="D9" s="108" t="s">
        <v>372</v>
      </c>
      <c r="E9" s="132" t="s">
        <v>440</v>
      </c>
      <c r="G9" s="181"/>
      <c r="H9" s="182"/>
    </row>
    <row r="10" spans="1:8" ht="15.75" customHeight="1" thickBot="1" x14ac:dyDescent="0.25">
      <c r="A10" s="21">
        <v>3</v>
      </c>
      <c r="B10" s="24" t="s">
        <v>64</v>
      </c>
      <c r="D10" s="108" t="s">
        <v>382</v>
      </c>
      <c r="E10" s="132" t="s">
        <v>441</v>
      </c>
      <c r="G10" s="183"/>
      <c r="H10" s="184"/>
    </row>
    <row r="11" spans="1:8" ht="15.75" customHeight="1" thickBot="1" x14ac:dyDescent="0.25">
      <c r="A11" s="22">
        <v>4</v>
      </c>
      <c r="B11" s="25" t="s">
        <v>65</v>
      </c>
      <c r="D11" s="109" t="s">
        <v>373</v>
      </c>
      <c r="E11" s="133" t="s">
        <v>442</v>
      </c>
    </row>
    <row r="13" spans="1:8" ht="15.75" customHeight="1" x14ac:dyDescent="0.2">
      <c r="A13" s="2" t="s">
        <v>66</v>
      </c>
      <c r="B13" s="2" t="s">
        <v>67</v>
      </c>
      <c r="C13" s="27" t="s">
        <v>82</v>
      </c>
      <c r="D13" s="2" t="s">
        <v>370</v>
      </c>
      <c r="E13" s="27" t="s">
        <v>371</v>
      </c>
    </row>
    <row r="14" spans="1:8" ht="15.75" customHeight="1" x14ac:dyDescent="0.2">
      <c r="A14" s="26" t="s">
        <v>68</v>
      </c>
      <c r="B14" s="26" t="s">
        <v>415</v>
      </c>
      <c r="C14" s="119" t="s">
        <v>416</v>
      </c>
      <c r="D14" s="120" t="s">
        <v>416</v>
      </c>
      <c r="E14" s="121" t="s">
        <v>385</v>
      </c>
      <c r="G14" t="s">
        <v>417</v>
      </c>
    </row>
    <row r="15" spans="1:8" ht="15.75" customHeight="1" x14ac:dyDescent="0.2">
      <c r="A15" s="26" t="s">
        <v>68</v>
      </c>
      <c r="B15" s="26" t="s">
        <v>377</v>
      </c>
      <c r="C15" s="119" t="s">
        <v>416</v>
      </c>
      <c r="D15" s="120" t="s">
        <v>416</v>
      </c>
      <c r="E15" s="121" t="s">
        <v>385</v>
      </c>
      <c r="G15" t="s">
        <v>418</v>
      </c>
    </row>
    <row r="16" spans="1:8" ht="15.75" customHeight="1" x14ac:dyDescent="0.2">
      <c r="A16" s="26" t="s">
        <v>375</v>
      </c>
      <c r="B16" s="26" t="s">
        <v>376</v>
      </c>
      <c r="C16" s="119" t="s">
        <v>416</v>
      </c>
      <c r="D16" s="120" t="s">
        <v>416</v>
      </c>
      <c r="E16" s="121" t="s">
        <v>385</v>
      </c>
    </row>
    <row r="17" spans="1:5" ht="15.75" customHeight="1" x14ac:dyDescent="0.2">
      <c r="A17" s="26" t="s">
        <v>69</v>
      </c>
      <c r="B17" s="26" t="s">
        <v>415</v>
      </c>
      <c r="C17" s="119">
        <v>0</v>
      </c>
      <c r="D17" s="120" t="s">
        <v>384</v>
      </c>
      <c r="E17" s="121" t="s">
        <v>385</v>
      </c>
    </row>
    <row r="18" spans="1:5" ht="15.75" customHeight="1" x14ac:dyDescent="0.2">
      <c r="A18" s="26" t="s">
        <v>69</v>
      </c>
      <c r="B18" s="26" t="s">
        <v>377</v>
      </c>
      <c r="C18" s="119">
        <v>0</v>
      </c>
      <c r="D18" s="120" t="s">
        <v>384</v>
      </c>
      <c r="E18" s="121" t="s">
        <v>385</v>
      </c>
    </row>
    <row r="19" spans="1:5" ht="15.75" customHeight="1" x14ac:dyDescent="0.2">
      <c r="A19" s="26" t="s">
        <v>70</v>
      </c>
      <c r="B19" s="26" t="s">
        <v>71</v>
      </c>
      <c r="C19" s="119">
        <v>0</v>
      </c>
      <c r="D19" s="120" t="s">
        <v>384</v>
      </c>
      <c r="E19" s="121" t="s">
        <v>385</v>
      </c>
    </row>
    <row r="20" spans="1:5" ht="15.75" customHeight="1" x14ac:dyDescent="0.2">
      <c r="A20" s="26" t="s">
        <v>70</v>
      </c>
      <c r="B20" s="26" t="s">
        <v>378</v>
      </c>
      <c r="C20" s="119">
        <v>0</v>
      </c>
      <c r="D20" s="120" t="s">
        <v>384</v>
      </c>
      <c r="E20" s="121" t="s">
        <v>385</v>
      </c>
    </row>
    <row r="21" spans="1:5" ht="15.75" customHeight="1" x14ac:dyDescent="0.2">
      <c r="A21" s="26" t="s">
        <v>72</v>
      </c>
      <c r="B21" s="26" t="s">
        <v>73</v>
      </c>
      <c r="C21" s="119">
        <v>0</v>
      </c>
      <c r="D21" s="120" t="s">
        <v>416</v>
      </c>
      <c r="E21" s="122" t="s">
        <v>416</v>
      </c>
    </row>
  </sheetData>
  <mergeCells count="1">
    <mergeCell ref="G6:H10"/>
  </mergeCells>
  <dataValidations disablePrompts="1" count="2">
    <dataValidation type="list" allowBlank="1" showInputMessage="1" showErrorMessage="1" sqref="F3" xr:uid="{3D0542E0-FCFC-4E7F-B114-F36BE5DC35BE}">
      <formula1>"Left, Right"</formula1>
    </dataValidation>
    <dataValidation type="list" allowBlank="1" showInputMessage="1" showErrorMessage="1" sqref="C14:C21" xr:uid="{5097AAEB-969F-478D-9A15-8B068DEE6F7D}">
      <formula1>"0,1,1+,2,3,4,NT,NA"</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BDF32-D9B5-4C3D-A015-1C616DEB8E6C}">
  <sheetPr>
    <outlinePr summaryBelow="0" summaryRight="0"/>
  </sheetPr>
  <dimension ref="A1:I240"/>
  <sheetViews>
    <sheetView topLeftCell="A78" zoomScale="91" workbookViewId="0">
      <selection activeCell="D131" sqref="D131"/>
    </sheetView>
  </sheetViews>
  <sheetFormatPr defaultColWidth="12.5703125" defaultRowHeight="15.75" customHeight="1" x14ac:dyDescent="0.2"/>
  <cols>
    <col min="1" max="1" width="45.140625" bestFit="1" customWidth="1"/>
    <col min="2" max="2" width="26.140625" customWidth="1"/>
    <col min="3" max="3" width="83.42578125" customWidth="1"/>
    <col min="4" max="4" width="15.140625" bestFit="1" customWidth="1"/>
    <col min="5" max="5" width="16" customWidth="1"/>
    <col min="6" max="6" width="17.5703125" customWidth="1"/>
    <col min="7" max="7" width="14.85546875" customWidth="1"/>
    <col min="8" max="8" width="17.85546875" customWidth="1"/>
  </cols>
  <sheetData>
    <row r="1" spans="1:9" ht="15.75" customHeight="1" x14ac:dyDescent="0.2">
      <c r="A1" s="1" t="s">
        <v>80</v>
      </c>
    </row>
    <row r="2" spans="1:9" ht="15.75" customHeight="1" thickBot="1" x14ac:dyDescent="0.25">
      <c r="A2" s="42" t="s">
        <v>391</v>
      </c>
      <c r="B2" s="43" t="s">
        <v>81</v>
      </c>
      <c r="C2" s="42"/>
      <c r="D2" s="42" t="s">
        <v>393</v>
      </c>
      <c r="E2" s="43" t="s">
        <v>392</v>
      </c>
    </row>
    <row r="3" spans="1:9" ht="15.75" customHeight="1" thickBot="1" x14ac:dyDescent="0.25">
      <c r="A3" s="102" t="s">
        <v>1</v>
      </c>
      <c r="B3" s="104" t="str">
        <f>'1_patient_info'!B3</f>
        <v>##</v>
      </c>
      <c r="C3" s="102" t="s">
        <v>5</v>
      </c>
      <c r="D3" s="104" t="s">
        <v>313</v>
      </c>
      <c r="E3" s="102" t="s">
        <v>49</v>
      </c>
      <c r="F3" s="11" t="s">
        <v>6</v>
      </c>
    </row>
    <row r="4" spans="1:9" ht="15.75" customHeight="1" thickBot="1" x14ac:dyDescent="0.25"/>
    <row r="5" spans="1:9" ht="15.75" customHeight="1" thickBot="1" x14ac:dyDescent="0.25">
      <c r="A5" s="12" t="s">
        <v>7</v>
      </c>
      <c r="B5" s="13" t="s">
        <v>50</v>
      </c>
      <c r="C5" s="13" t="s">
        <v>51</v>
      </c>
      <c r="D5" s="14" t="s">
        <v>52</v>
      </c>
    </row>
    <row r="7" spans="1:9" ht="15.75" customHeight="1" x14ac:dyDescent="0.2">
      <c r="A7" s="1" t="s">
        <v>53</v>
      </c>
      <c r="B7" s="1" t="s">
        <v>54</v>
      </c>
      <c r="C7" s="1" t="s">
        <v>47</v>
      </c>
      <c r="D7" s="1" t="s">
        <v>128</v>
      </c>
      <c r="E7" s="45" t="s">
        <v>108</v>
      </c>
      <c r="F7" s="32" t="s">
        <v>213</v>
      </c>
    </row>
    <row r="8" spans="1:9" ht="15.75" customHeight="1" x14ac:dyDescent="0.2">
      <c r="A8" s="49" t="s">
        <v>83</v>
      </c>
      <c r="B8" s="47"/>
      <c r="C8" s="47"/>
      <c r="D8" s="48"/>
      <c r="E8" s="60"/>
      <c r="F8" s="60"/>
    </row>
    <row r="9" spans="1:9" ht="15.75" customHeight="1" x14ac:dyDescent="0.2">
      <c r="A9" s="189" t="s">
        <v>86</v>
      </c>
      <c r="B9" s="158" t="s">
        <v>180</v>
      </c>
      <c r="C9" s="5" t="s">
        <v>125</v>
      </c>
      <c r="D9" s="6">
        <v>0</v>
      </c>
      <c r="E9" s="61"/>
      <c r="F9" s="185"/>
    </row>
    <row r="10" spans="1:9" ht="15.75" customHeight="1" x14ac:dyDescent="0.2">
      <c r="A10" s="190"/>
      <c r="B10" s="164"/>
      <c r="C10" s="53" t="s">
        <v>126</v>
      </c>
      <c r="D10" s="52">
        <v>2</v>
      </c>
      <c r="E10" s="62"/>
      <c r="F10" s="187"/>
    </row>
    <row r="11" spans="1:9" ht="15.75" customHeight="1" x14ac:dyDescent="0.2">
      <c r="A11" s="189" t="s">
        <v>87</v>
      </c>
      <c r="B11" s="158" t="s">
        <v>181</v>
      </c>
      <c r="C11" s="5" t="s">
        <v>125</v>
      </c>
      <c r="D11" s="6">
        <v>0</v>
      </c>
      <c r="E11" s="61"/>
      <c r="F11" s="185"/>
    </row>
    <row r="12" spans="1:9" ht="15.75" customHeight="1" thickBot="1" x14ac:dyDescent="0.25">
      <c r="A12" s="190"/>
      <c r="B12" s="191"/>
      <c r="C12" s="1" t="s">
        <v>126</v>
      </c>
      <c r="D12">
        <v>2</v>
      </c>
      <c r="E12" s="51"/>
      <c r="F12" s="187"/>
      <c r="H12" s="15" t="s">
        <v>55</v>
      </c>
    </row>
    <row r="13" spans="1:9" ht="15.75" customHeight="1" thickBot="1" x14ac:dyDescent="0.25">
      <c r="A13" s="49" t="s">
        <v>85</v>
      </c>
      <c r="B13" s="54"/>
      <c r="C13" s="49"/>
      <c r="D13" s="50"/>
      <c r="E13" s="63"/>
      <c r="F13" s="63"/>
      <c r="H13" s="18" t="s">
        <v>57</v>
      </c>
      <c r="I13" s="16">
        <f>SUM(F9:F61, F63:F114)</f>
        <v>0</v>
      </c>
    </row>
    <row r="14" spans="1:9" ht="15.75" customHeight="1" x14ac:dyDescent="0.2">
      <c r="A14" s="189" t="s">
        <v>88</v>
      </c>
      <c r="B14" s="158" t="s">
        <v>182</v>
      </c>
      <c r="C14" s="5" t="s">
        <v>127</v>
      </c>
      <c r="D14" s="6">
        <v>0</v>
      </c>
      <c r="E14" s="61"/>
      <c r="F14" s="185"/>
    </row>
    <row r="15" spans="1:9" ht="15.75" customHeight="1" x14ac:dyDescent="0.2">
      <c r="A15" s="156"/>
      <c r="B15" s="161"/>
      <c r="C15" s="1" t="s">
        <v>129</v>
      </c>
      <c r="D15">
        <v>1</v>
      </c>
      <c r="E15" s="51"/>
      <c r="F15" s="186"/>
    </row>
    <row r="16" spans="1:9" ht="15.75" customHeight="1" x14ac:dyDescent="0.2">
      <c r="A16" s="190"/>
      <c r="B16" s="164"/>
      <c r="C16" s="53" t="s">
        <v>130</v>
      </c>
      <c r="D16" s="52">
        <v>2</v>
      </c>
      <c r="E16" s="62"/>
      <c r="F16" s="187"/>
    </row>
    <row r="17" spans="1:6" ht="15.75" customHeight="1" x14ac:dyDescent="0.2">
      <c r="A17" s="189" t="s">
        <v>89</v>
      </c>
      <c r="B17" s="158" t="s">
        <v>183</v>
      </c>
      <c r="C17" s="5" t="s">
        <v>127</v>
      </c>
      <c r="D17" s="6">
        <v>0</v>
      </c>
      <c r="E17" s="61"/>
      <c r="F17" s="185"/>
    </row>
    <row r="18" spans="1:6" ht="15.75" customHeight="1" x14ac:dyDescent="0.2">
      <c r="A18" s="156"/>
      <c r="B18" s="161"/>
      <c r="C18" s="1" t="s">
        <v>129</v>
      </c>
      <c r="D18">
        <v>1</v>
      </c>
      <c r="E18" s="51"/>
      <c r="F18" s="186"/>
    </row>
    <row r="19" spans="1:6" ht="15.75" customHeight="1" x14ac:dyDescent="0.2">
      <c r="A19" s="190"/>
      <c r="B19" s="164"/>
      <c r="C19" s="1" t="s">
        <v>130</v>
      </c>
      <c r="D19">
        <v>2</v>
      </c>
      <c r="E19" s="51"/>
      <c r="F19" s="187"/>
    </row>
    <row r="20" spans="1:6" ht="15.75" customHeight="1" x14ac:dyDescent="0.2">
      <c r="A20" s="189" t="s">
        <v>90</v>
      </c>
      <c r="B20" s="158" t="s">
        <v>184</v>
      </c>
      <c r="C20" s="5" t="s">
        <v>127</v>
      </c>
      <c r="D20" s="6">
        <v>0</v>
      </c>
      <c r="E20" s="61"/>
      <c r="F20" s="185"/>
    </row>
    <row r="21" spans="1:6" ht="15.75" customHeight="1" x14ac:dyDescent="0.2">
      <c r="A21" s="156"/>
      <c r="B21" s="161"/>
      <c r="C21" s="1" t="s">
        <v>129</v>
      </c>
      <c r="D21">
        <v>1</v>
      </c>
      <c r="E21" s="51"/>
      <c r="F21" s="186"/>
    </row>
    <row r="22" spans="1:6" ht="15.75" customHeight="1" x14ac:dyDescent="0.2">
      <c r="A22" s="190"/>
      <c r="B22" s="164"/>
      <c r="C22" s="1" t="s">
        <v>130</v>
      </c>
      <c r="D22">
        <v>2</v>
      </c>
      <c r="E22" s="51"/>
      <c r="F22" s="187"/>
    </row>
    <row r="23" spans="1:6" ht="15.75" customHeight="1" x14ac:dyDescent="0.2">
      <c r="A23" s="189" t="s">
        <v>91</v>
      </c>
      <c r="B23" s="158" t="s">
        <v>185</v>
      </c>
      <c r="C23" s="5" t="s">
        <v>127</v>
      </c>
      <c r="D23" s="6">
        <v>0</v>
      </c>
      <c r="E23" s="61"/>
      <c r="F23" s="185"/>
    </row>
    <row r="24" spans="1:6" ht="15.75" customHeight="1" x14ac:dyDescent="0.2">
      <c r="A24" s="156"/>
      <c r="B24" s="161"/>
      <c r="C24" s="1" t="s">
        <v>129</v>
      </c>
      <c r="D24">
        <v>1</v>
      </c>
      <c r="E24" s="51"/>
      <c r="F24" s="186"/>
    </row>
    <row r="25" spans="1:6" ht="15.75" customHeight="1" x14ac:dyDescent="0.2">
      <c r="A25" s="190"/>
      <c r="B25" s="164"/>
      <c r="C25" s="1" t="s">
        <v>130</v>
      </c>
      <c r="D25">
        <v>2</v>
      </c>
      <c r="E25" s="51"/>
      <c r="F25" s="187"/>
    </row>
    <row r="26" spans="1:6" ht="15.75" customHeight="1" x14ac:dyDescent="0.2">
      <c r="A26" s="189" t="s">
        <v>92</v>
      </c>
      <c r="B26" s="158" t="s">
        <v>186</v>
      </c>
      <c r="C26" s="5" t="s">
        <v>127</v>
      </c>
      <c r="D26" s="6">
        <v>0</v>
      </c>
      <c r="E26" s="61"/>
      <c r="F26" s="185"/>
    </row>
    <row r="27" spans="1:6" ht="15.75" customHeight="1" x14ac:dyDescent="0.2">
      <c r="A27" s="156"/>
      <c r="B27" s="161"/>
      <c r="C27" s="1" t="s">
        <v>129</v>
      </c>
      <c r="D27">
        <v>1</v>
      </c>
      <c r="E27" s="51"/>
      <c r="F27" s="186"/>
    </row>
    <row r="28" spans="1:6" ht="12.75" x14ac:dyDescent="0.2">
      <c r="A28" s="190"/>
      <c r="B28" s="164"/>
      <c r="C28" s="1" t="s">
        <v>130</v>
      </c>
      <c r="D28">
        <v>2</v>
      </c>
      <c r="E28" s="51"/>
      <c r="F28" s="187"/>
    </row>
    <row r="29" spans="1:6" ht="15.75" customHeight="1" x14ac:dyDescent="0.2">
      <c r="A29" s="189" t="s">
        <v>93</v>
      </c>
      <c r="B29" s="158" t="s">
        <v>187</v>
      </c>
      <c r="C29" s="5" t="s">
        <v>127</v>
      </c>
      <c r="D29" s="6">
        <v>0</v>
      </c>
      <c r="E29" s="61"/>
      <c r="F29" s="185"/>
    </row>
    <row r="30" spans="1:6" ht="12.75" x14ac:dyDescent="0.2">
      <c r="A30" s="156"/>
      <c r="B30" s="161"/>
      <c r="C30" s="1" t="s">
        <v>129</v>
      </c>
      <c r="D30">
        <v>1</v>
      </c>
      <c r="E30" s="51"/>
      <c r="F30" s="186"/>
    </row>
    <row r="31" spans="1:6" ht="15.75" customHeight="1" x14ac:dyDescent="0.2">
      <c r="A31" s="190"/>
      <c r="B31" s="164"/>
      <c r="C31" s="1" t="s">
        <v>130</v>
      </c>
      <c r="D31">
        <v>2</v>
      </c>
      <c r="E31" s="51"/>
      <c r="F31" s="187"/>
    </row>
    <row r="32" spans="1:6" ht="15.75" customHeight="1" x14ac:dyDescent="0.2">
      <c r="A32" s="49" t="s">
        <v>84</v>
      </c>
      <c r="B32" s="54"/>
      <c r="C32" s="49"/>
      <c r="D32" s="50"/>
      <c r="E32" s="63"/>
      <c r="F32" s="63"/>
    </row>
    <row r="33" spans="1:6" ht="15.75" customHeight="1" x14ac:dyDescent="0.2">
      <c r="A33" s="189" t="s">
        <v>94</v>
      </c>
      <c r="B33" s="158" t="s">
        <v>188</v>
      </c>
      <c r="C33" s="46" t="s">
        <v>131</v>
      </c>
      <c r="D33" s="6">
        <v>0</v>
      </c>
      <c r="E33" s="61"/>
      <c r="F33" s="185"/>
    </row>
    <row r="34" spans="1:6" ht="15.75" customHeight="1" x14ac:dyDescent="0.2">
      <c r="A34" s="156"/>
      <c r="B34" s="161"/>
      <c r="C34" s="45" t="s">
        <v>129</v>
      </c>
      <c r="D34">
        <v>1</v>
      </c>
      <c r="E34" s="51"/>
      <c r="F34" s="186"/>
    </row>
    <row r="35" spans="1:6" ht="15.75" customHeight="1" x14ac:dyDescent="0.2">
      <c r="A35" s="190"/>
      <c r="B35" s="164"/>
      <c r="C35" s="59" t="s">
        <v>130</v>
      </c>
      <c r="D35" s="52">
        <v>2</v>
      </c>
      <c r="E35" s="62"/>
      <c r="F35" s="187"/>
    </row>
    <row r="36" spans="1:6" ht="15.75" customHeight="1" x14ac:dyDescent="0.2">
      <c r="A36" s="189" t="s">
        <v>95</v>
      </c>
      <c r="B36" s="158" t="s">
        <v>189</v>
      </c>
      <c r="C36" s="46" t="s">
        <v>131</v>
      </c>
      <c r="D36" s="6">
        <v>0</v>
      </c>
      <c r="E36" s="61"/>
      <c r="F36" s="185"/>
    </row>
    <row r="37" spans="1:6" ht="15.75" customHeight="1" x14ac:dyDescent="0.2">
      <c r="A37" s="156"/>
      <c r="B37" s="161"/>
      <c r="C37" s="45" t="s">
        <v>129</v>
      </c>
      <c r="D37">
        <v>1</v>
      </c>
      <c r="E37" s="51"/>
      <c r="F37" s="186"/>
    </row>
    <row r="38" spans="1:6" ht="15.75" customHeight="1" x14ac:dyDescent="0.2">
      <c r="A38" s="190"/>
      <c r="B38" s="164"/>
      <c r="C38" s="45" t="s">
        <v>130</v>
      </c>
      <c r="D38">
        <v>2</v>
      </c>
      <c r="E38" s="51"/>
      <c r="F38" s="187"/>
    </row>
    <row r="39" spans="1:6" ht="15.75" customHeight="1" x14ac:dyDescent="0.2">
      <c r="A39" s="192" t="s">
        <v>190</v>
      </c>
      <c r="B39" s="158" t="s">
        <v>191</v>
      </c>
      <c r="C39" s="46" t="s">
        <v>131</v>
      </c>
      <c r="D39" s="6">
        <v>0</v>
      </c>
      <c r="E39" s="61"/>
      <c r="F39" s="185"/>
    </row>
    <row r="40" spans="1:6" ht="15.75" customHeight="1" x14ac:dyDescent="0.2">
      <c r="A40" s="193"/>
      <c r="B40" s="161"/>
      <c r="C40" s="45" t="s">
        <v>129</v>
      </c>
      <c r="D40">
        <v>1</v>
      </c>
      <c r="E40" s="51"/>
      <c r="F40" s="186"/>
    </row>
    <row r="41" spans="1:6" ht="15.75" customHeight="1" x14ac:dyDescent="0.2">
      <c r="A41" s="194"/>
      <c r="B41" s="164"/>
      <c r="C41" s="45" t="s">
        <v>130</v>
      </c>
      <c r="D41">
        <v>2</v>
      </c>
      <c r="E41" s="51"/>
      <c r="F41" s="187"/>
    </row>
    <row r="42" spans="1:6" ht="15.75" customHeight="1" x14ac:dyDescent="0.2">
      <c r="A42" s="49" t="s">
        <v>103</v>
      </c>
      <c r="B42" s="54"/>
      <c r="C42" s="49"/>
      <c r="D42" s="50"/>
      <c r="E42" s="63"/>
      <c r="F42" s="63"/>
    </row>
    <row r="43" spans="1:6" ht="15.75" customHeight="1" x14ac:dyDescent="0.2">
      <c r="A43" s="189" t="s">
        <v>99</v>
      </c>
      <c r="B43" s="158" t="s">
        <v>56</v>
      </c>
      <c r="C43" s="46" t="s">
        <v>131</v>
      </c>
      <c r="D43" s="6">
        <v>0</v>
      </c>
      <c r="E43" s="61"/>
      <c r="F43" s="185"/>
    </row>
    <row r="44" spans="1:6" ht="15.75" customHeight="1" x14ac:dyDescent="0.2">
      <c r="A44" s="156"/>
      <c r="B44" s="161"/>
      <c r="C44" s="45" t="s">
        <v>132</v>
      </c>
      <c r="D44">
        <v>1</v>
      </c>
      <c r="E44" s="51"/>
      <c r="F44" s="186"/>
    </row>
    <row r="45" spans="1:6" ht="15.75" customHeight="1" x14ac:dyDescent="0.2">
      <c r="A45" s="190"/>
      <c r="B45" s="164"/>
      <c r="C45" s="59" t="s">
        <v>130</v>
      </c>
      <c r="D45" s="52">
        <v>2</v>
      </c>
      <c r="E45" s="62"/>
      <c r="F45" s="187"/>
    </row>
    <row r="46" spans="1:6" ht="15.75" customHeight="1" x14ac:dyDescent="0.2">
      <c r="A46" s="189" t="s">
        <v>100</v>
      </c>
      <c r="B46" s="158" t="s">
        <v>192</v>
      </c>
      <c r="C46" s="46" t="s">
        <v>133</v>
      </c>
      <c r="D46" s="6">
        <v>0</v>
      </c>
      <c r="E46" s="61"/>
      <c r="F46" s="185"/>
    </row>
    <row r="47" spans="1:6" ht="15.75" customHeight="1" x14ac:dyDescent="0.2">
      <c r="A47" s="156"/>
      <c r="B47" s="161"/>
      <c r="C47" s="45" t="s">
        <v>134</v>
      </c>
      <c r="D47">
        <v>1</v>
      </c>
      <c r="E47" s="51"/>
      <c r="F47" s="186"/>
    </row>
    <row r="48" spans="1:6" ht="15.75" customHeight="1" x14ac:dyDescent="0.2">
      <c r="A48" s="190"/>
      <c r="B48" s="164"/>
      <c r="C48" s="45" t="s">
        <v>130</v>
      </c>
      <c r="D48">
        <v>2</v>
      </c>
      <c r="E48" s="51"/>
      <c r="F48" s="187"/>
    </row>
    <row r="49" spans="1:6" ht="15.75" customHeight="1" x14ac:dyDescent="0.2">
      <c r="A49" s="189" t="s">
        <v>101</v>
      </c>
      <c r="B49" s="158" t="s">
        <v>193</v>
      </c>
      <c r="C49" s="46" t="s">
        <v>135</v>
      </c>
      <c r="D49" s="6">
        <v>0</v>
      </c>
      <c r="E49" s="61"/>
      <c r="F49" s="185"/>
    </row>
    <row r="50" spans="1:6" ht="15.75" customHeight="1" x14ac:dyDescent="0.2">
      <c r="A50" s="156"/>
      <c r="B50" s="161"/>
      <c r="C50" s="45" t="s">
        <v>136</v>
      </c>
      <c r="D50">
        <v>1</v>
      </c>
      <c r="E50" s="51"/>
      <c r="F50" s="186"/>
    </row>
    <row r="51" spans="1:6" ht="15.75" customHeight="1" x14ac:dyDescent="0.2">
      <c r="A51" s="190"/>
      <c r="B51" s="164"/>
      <c r="C51" s="45" t="s">
        <v>130</v>
      </c>
      <c r="D51">
        <v>2</v>
      </c>
      <c r="E51" s="51"/>
      <c r="F51" s="187"/>
    </row>
    <row r="52" spans="1:6" ht="15.75" customHeight="1" x14ac:dyDescent="0.2">
      <c r="A52" s="50" t="s">
        <v>102</v>
      </c>
      <c r="B52" s="56"/>
      <c r="C52" s="49"/>
      <c r="D52" s="50"/>
      <c r="E52" s="63"/>
      <c r="F52" s="63"/>
    </row>
    <row r="53" spans="1:6" ht="15.75" customHeight="1" x14ac:dyDescent="0.2">
      <c r="A53" s="195" t="s">
        <v>96</v>
      </c>
      <c r="B53" s="158" t="s">
        <v>194</v>
      </c>
      <c r="C53" s="46" t="s">
        <v>137</v>
      </c>
      <c r="D53" s="6">
        <v>0</v>
      </c>
      <c r="E53" s="61"/>
      <c r="F53" s="185"/>
    </row>
    <row r="54" spans="1:6" ht="15.75" customHeight="1" x14ac:dyDescent="0.2">
      <c r="A54" s="168"/>
      <c r="B54" s="161"/>
      <c r="C54" s="45" t="s">
        <v>138</v>
      </c>
      <c r="D54">
        <v>1</v>
      </c>
      <c r="E54" s="51"/>
      <c r="F54" s="186"/>
    </row>
    <row r="55" spans="1:6" ht="15.75" customHeight="1" x14ac:dyDescent="0.2">
      <c r="A55" s="196"/>
      <c r="B55" s="164"/>
      <c r="C55" s="59" t="s">
        <v>130</v>
      </c>
      <c r="D55" s="52">
        <v>2</v>
      </c>
      <c r="E55" s="62"/>
      <c r="F55" s="187"/>
    </row>
    <row r="56" spans="1:6" ht="15.75" customHeight="1" x14ac:dyDescent="0.2">
      <c r="A56" s="189" t="s">
        <v>97</v>
      </c>
      <c r="B56" s="158" t="s">
        <v>195</v>
      </c>
      <c r="C56" s="46" t="s">
        <v>139</v>
      </c>
      <c r="D56" s="6">
        <v>0</v>
      </c>
      <c r="E56" s="61"/>
      <c r="F56" s="185"/>
    </row>
    <row r="57" spans="1:6" ht="15.75" customHeight="1" x14ac:dyDescent="0.2">
      <c r="A57" s="156"/>
      <c r="B57" s="161"/>
      <c r="C57" s="45" t="s">
        <v>134</v>
      </c>
      <c r="D57">
        <v>1</v>
      </c>
      <c r="E57" s="51"/>
      <c r="F57" s="186"/>
    </row>
    <row r="58" spans="1:6" ht="15.75" customHeight="1" x14ac:dyDescent="0.2">
      <c r="A58" s="190"/>
      <c r="B58" s="164"/>
      <c r="C58" s="45" t="s">
        <v>130</v>
      </c>
      <c r="D58">
        <v>2</v>
      </c>
      <c r="E58" s="51"/>
      <c r="F58" s="187"/>
    </row>
    <row r="59" spans="1:6" ht="15.75" customHeight="1" x14ac:dyDescent="0.2">
      <c r="A59" s="189" t="s">
        <v>98</v>
      </c>
      <c r="B59" s="158" t="s">
        <v>196</v>
      </c>
      <c r="C59" s="46" t="s">
        <v>135</v>
      </c>
      <c r="D59" s="6">
        <v>0</v>
      </c>
      <c r="E59" s="61"/>
      <c r="F59" s="185"/>
    </row>
    <row r="60" spans="1:6" ht="20.45" customHeight="1" x14ac:dyDescent="0.2">
      <c r="A60" s="156"/>
      <c r="B60" s="161"/>
      <c r="C60" s="45" t="s">
        <v>136</v>
      </c>
      <c r="D60">
        <v>1</v>
      </c>
      <c r="E60" s="51"/>
      <c r="F60" s="186"/>
    </row>
    <row r="61" spans="1:6" ht="15.75" customHeight="1" x14ac:dyDescent="0.2">
      <c r="A61" s="190"/>
      <c r="B61" s="164"/>
      <c r="C61" s="45" t="s">
        <v>130</v>
      </c>
      <c r="D61">
        <v>2</v>
      </c>
      <c r="E61" s="51"/>
      <c r="F61" s="187"/>
    </row>
    <row r="62" spans="1:6" ht="15.75" customHeight="1" x14ac:dyDescent="0.2">
      <c r="A62" s="50" t="s">
        <v>104</v>
      </c>
      <c r="B62" s="56"/>
      <c r="C62" s="49"/>
      <c r="D62" s="50"/>
      <c r="E62" s="63"/>
      <c r="F62" s="63"/>
    </row>
    <row r="63" spans="1:6" ht="15.75" customHeight="1" x14ac:dyDescent="0.2">
      <c r="A63" s="189" t="s">
        <v>105</v>
      </c>
      <c r="B63" s="158" t="s">
        <v>212</v>
      </c>
      <c r="C63" s="57" t="s">
        <v>141</v>
      </c>
      <c r="D63" s="58" t="s">
        <v>140</v>
      </c>
      <c r="E63" s="61"/>
      <c r="F63" s="185"/>
    </row>
    <row r="64" spans="1:6" ht="15.75" customHeight="1" x14ac:dyDescent="0.2">
      <c r="A64" s="156"/>
      <c r="B64" s="161"/>
      <c r="C64" s="1" t="s">
        <v>142</v>
      </c>
      <c r="D64">
        <v>0</v>
      </c>
      <c r="E64" s="51"/>
      <c r="F64" s="186"/>
    </row>
    <row r="65" spans="1:6" ht="15.75" customHeight="1" x14ac:dyDescent="0.2">
      <c r="A65" s="156"/>
      <c r="B65" s="161"/>
      <c r="C65" s="1" t="s">
        <v>143</v>
      </c>
      <c r="D65">
        <v>1</v>
      </c>
      <c r="E65" s="51"/>
      <c r="F65" s="186"/>
    </row>
    <row r="66" spans="1:6" ht="39.6" customHeight="1" x14ac:dyDescent="0.2">
      <c r="A66" s="190"/>
      <c r="B66" s="164"/>
      <c r="C66" s="53" t="s">
        <v>144</v>
      </c>
      <c r="D66" s="52">
        <v>2</v>
      </c>
      <c r="E66" s="62"/>
      <c r="F66" s="187"/>
    </row>
    <row r="67" spans="1:6" ht="15.75" customHeight="1" x14ac:dyDescent="0.2">
      <c r="A67" s="50" t="s">
        <v>106</v>
      </c>
      <c r="B67" s="56"/>
      <c r="C67" s="49"/>
      <c r="D67" s="50"/>
      <c r="E67" s="63"/>
      <c r="F67" s="63"/>
    </row>
    <row r="68" spans="1:6" ht="15.75" customHeight="1" x14ac:dyDescent="0.2">
      <c r="A68" s="189" t="s">
        <v>107</v>
      </c>
      <c r="B68" s="158" t="s">
        <v>197</v>
      </c>
      <c r="C68" s="5" t="s">
        <v>145</v>
      </c>
      <c r="D68" s="6">
        <v>0</v>
      </c>
      <c r="E68" s="61"/>
      <c r="F68" s="185"/>
    </row>
    <row r="69" spans="1:6" ht="15.75" customHeight="1" x14ac:dyDescent="0.2">
      <c r="A69" s="156"/>
      <c r="B69" s="161"/>
      <c r="C69" s="3" t="s">
        <v>148</v>
      </c>
      <c r="D69">
        <v>1</v>
      </c>
      <c r="E69" s="51"/>
      <c r="F69" s="186"/>
    </row>
    <row r="70" spans="1:6" ht="15.75" customHeight="1" x14ac:dyDescent="0.2">
      <c r="A70" s="190"/>
      <c r="B70" s="164"/>
      <c r="C70" s="53" t="s">
        <v>130</v>
      </c>
      <c r="D70" s="52">
        <v>2</v>
      </c>
      <c r="E70" s="62"/>
      <c r="F70" s="187"/>
    </row>
    <row r="71" spans="1:6" ht="15.75" customHeight="1" x14ac:dyDescent="0.2">
      <c r="A71" s="189" t="s">
        <v>109</v>
      </c>
      <c r="B71" s="158" t="s">
        <v>198</v>
      </c>
      <c r="C71" s="5" t="s">
        <v>146</v>
      </c>
      <c r="D71" s="6">
        <v>0</v>
      </c>
      <c r="E71" s="61"/>
      <c r="F71" s="185"/>
    </row>
    <row r="72" spans="1:6" ht="15.75" customHeight="1" x14ac:dyDescent="0.2">
      <c r="A72" s="156"/>
      <c r="B72" s="161"/>
      <c r="C72" s="45" t="s">
        <v>147</v>
      </c>
      <c r="D72">
        <v>1</v>
      </c>
      <c r="E72" s="51"/>
      <c r="F72" s="186"/>
    </row>
    <row r="73" spans="1:6" ht="15.75" customHeight="1" x14ac:dyDescent="0.2">
      <c r="A73" s="190"/>
      <c r="B73" s="164"/>
      <c r="C73" s="1" t="s">
        <v>152</v>
      </c>
      <c r="D73">
        <v>2</v>
      </c>
      <c r="E73" s="51"/>
      <c r="F73" s="187"/>
    </row>
    <row r="74" spans="1:6" ht="15.75" customHeight="1" x14ac:dyDescent="0.2">
      <c r="A74" s="189" t="s">
        <v>110</v>
      </c>
      <c r="B74" s="158" t="s">
        <v>199</v>
      </c>
      <c r="C74" s="5" t="s">
        <v>149</v>
      </c>
      <c r="D74" s="6">
        <v>0</v>
      </c>
      <c r="E74" s="61"/>
      <c r="F74" s="185"/>
    </row>
    <row r="75" spans="1:6" ht="36" customHeight="1" x14ac:dyDescent="0.2">
      <c r="A75" s="156"/>
      <c r="B75" s="161"/>
      <c r="C75" s="3" t="s">
        <v>148</v>
      </c>
      <c r="D75">
        <v>1</v>
      </c>
      <c r="E75" s="51"/>
      <c r="F75" s="186"/>
    </row>
    <row r="76" spans="1:6" ht="15.75" customHeight="1" x14ac:dyDescent="0.2">
      <c r="A76" s="190"/>
      <c r="B76" s="164"/>
      <c r="C76" s="1" t="s">
        <v>130</v>
      </c>
      <c r="D76">
        <v>2</v>
      </c>
      <c r="E76" s="51"/>
      <c r="F76" s="187"/>
    </row>
    <row r="77" spans="1:6" ht="15.75" customHeight="1" x14ac:dyDescent="0.2">
      <c r="A77" s="189" t="s">
        <v>111</v>
      </c>
      <c r="B77" s="158" t="s">
        <v>200</v>
      </c>
      <c r="C77" s="5" t="s">
        <v>150</v>
      </c>
      <c r="D77" s="6">
        <v>0</v>
      </c>
      <c r="E77" s="61"/>
      <c r="F77" s="185"/>
    </row>
    <row r="78" spans="1:6" ht="15.75" customHeight="1" x14ac:dyDescent="0.2">
      <c r="A78" s="156"/>
      <c r="B78" s="161"/>
      <c r="C78" s="3" t="s">
        <v>151</v>
      </c>
      <c r="D78">
        <v>1</v>
      </c>
      <c r="E78" s="51"/>
      <c r="F78" s="186"/>
    </row>
    <row r="79" spans="1:6" ht="23.1" customHeight="1" x14ac:dyDescent="0.2">
      <c r="A79" s="190"/>
      <c r="B79" s="164"/>
      <c r="C79" s="1" t="s">
        <v>152</v>
      </c>
      <c r="D79">
        <v>2</v>
      </c>
      <c r="E79" s="51"/>
      <c r="F79" s="187"/>
    </row>
    <row r="80" spans="1:6" ht="15.75" customHeight="1" x14ac:dyDescent="0.2">
      <c r="A80" s="189" t="s">
        <v>112</v>
      </c>
      <c r="B80" s="158" t="s">
        <v>201</v>
      </c>
      <c r="C80" s="5" t="s">
        <v>153</v>
      </c>
      <c r="D80" s="6">
        <v>0</v>
      </c>
      <c r="E80" s="61"/>
      <c r="F80" s="185"/>
    </row>
    <row r="81" spans="1:6" ht="15.75" customHeight="1" x14ac:dyDescent="0.2">
      <c r="A81" s="156"/>
      <c r="B81" s="161"/>
      <c r="C81" s="1" t="s">
        <v>154</v>
      </c>
      <c r="D81">
        <v>1</v>
      </c>
      <c r="E81" s="51"/>
      <c r="F81" s="186"/>
    </row>
    <row r="82" spans="1:6" ht="15.75" customHeight="1" x14ac:dyDescent="0.2">
      <c r="A82" s="190"/>
      <c r="B82" s="164"/>
      <c r="C82" s="1" t="s">
        <v>155</v>
      </c>
      <c r="D82">
        <v>2</v>
      </c>
      <c r="E82" s="51"/>
      <c r="F82" s="187"/>
    </row>
    <row r="83" spans="1:6" ht="15.75" customHeight="1" x14ac:dyDescent="0.2">
      <c r="A83" s="50" t="s">
        <v>113</v>
      </c>
      <c r="B83" s="56"/>
      <c r="C83" s="49"/>
      <c r="D83" s="50"/>
      <c r="E83" s="63"/>
      <c r="F83" s="63"/>
    </row>
    <row r="84" spans="1:6" ht="15.75" customHeight="1" x14ac:dyDescent="0.2">
      <c r="A84" s="189" t="s">
        <v>114</v>
      </c>
      <c r="B84" s="158" t="s">
        <v>202</v>
      </c>
      <c r="C84" s="5" t="s">
        <v>131</v>
      </c>
      <c r="D84" s="6">
        <v>0</v>
      </c>
      <c r="E84" s="61"/>
      <c r="F84" s="185"/>
    </row>
    <row r="85" spans="1:6" ht="15.75" customHeight="1" x14ac:dyDescent="0.2">
      <c r="A85" s="156"/>
      <c r="B85" s="161"/>
      <c r="C85" s="1" t="s">
        <v>156</v>
      </c>
      <c r="D85">
        <v>1</v>
      </c>
      <c r="E85" s="51"/>
      <c r="F85" s="186"/>
    </row>
    <row r="86" spans="1:6" ht="15.75" customHeight="1" x14ac:dyDescent="0.2">
      <c r="A86" s="190"/>
      <c r="B86" s="164"/>
      <c r="C86" s="53" t="s">
        <v>157</v>
      </c>
      <c r="D86" s="52">
        <v>2</v>
      </c>
      <c r="E86" s="62"/>
      <c r="F86" s="187"/>
    </row>
    <row r="87" spans="1:6" ht="15.75" customHeight="1" x14ac:dyDescent="0.2">
      <c r="A87" s="189" t="s">
        <v>115</v>
      </c>
      <c r="B87" s="158" t="s">
        <v>203</v>
      </c>
      <c r="C87" s="5" t="s">
        <v>131</v>
      </c>
      <c r="D87" s="6">
        <v>0</v>
      </c>
      <c r="E87" s="61"/>
      <c r="F87" s="185"/>
    </row>
    <row r="88" spans="1:6" ht="15.75" customHeight="1" x14ac:dyDescent="0.2">
      <c r="A88" s="156"/>
      <c r="B88" s="161"/>
      <c r="C88" s="1" t="s">
        <v>158</v>
      </c>
      <c r="D88">
        <v>1</v>
      </c>
      <c r="E88" s="51"/>
      <c r="F88" s="186"/>
    </row>
    <row r="89" spans="1:6" ht="15.75" customHeight="1" x14ac:dyDescent="0.2">
      <c r="A89" s="190"/>
      <c r="B89" s="164"/>
      <c r="C89" s="1" t="s">
        <v>159</v>
      </c>
      <c r="D89">
        <v>2</v>
      </c>
      <c r="E89" s="51"/>
      <c r="F89" s="187"/>
    </row>
    <row r="90" spans="1:6" ht="15.75" customHeight="1" x14ac:dyDescent="0.2">
      <c r="A90" s="189" t="s">
        <v>116</v>
      </c>
      <c r="B90" s="158" t="s">
        <v>204</v>
      </c>
      <c r="C90" s="5" t="s">
        <v>160</v>
      </c>
      <c r="D90" s="6">
        <v>0</v>
      </c>
      <c r="E90" s="61"/>
      <c r="F90" s="185"/>
    </row>
    <row r="91" spans="1:6" ht="15.75" customHeight="1" x14ac:dyDescent="0.2">
      <c r="A91" s="156"/>
      <c r="B91" s="161"/>
      <c r="C91" s="1" t="s">
        <v>161</v>
      </c>
      <c r="D91">
        <v>1</v>
      </c>
      <c r="E91" s="51"/>
      <c r="F91" s="186"/>
    </row>
    <row r="92" spans="1:6" ht="15.75" customHeight="1" x14ac:dyDescent="0.2">
      <c r="A92" s="190"/>
      <c r="B92" s="164"/>
      <c r="C92" s="1" t="s">
        <v>162</v>
      </c>
      <c r="D92">
        <v>2</v>
      </c>
      <c r="E92" s="51"/>
      <c r="F92" s="187"/>
    </row>
    <row r="93" spans="1:6" ht="15.75" customHeight="1" x14ac:dyDescent="0.2">
      <c r="A93" s="189" t="s">
        <v>117</v>
      </c>
      <c r="B93" s="158" t="s">
        <v>205</v>
      </c>
      <c r="C93" s="5" t="s">
        <v>160</v>
      </c>
      <c r="D93" s="6">
        <v>0</v>
      </c>
      <c r="E93" s="61"/>
      <c r="F93" s="185"/>
    </row>
    <row r="94" spans="1:6" ht="15.75" customHeight="1" x14ac:dyDescent="0.2">
      <c r="A94" s="156"/>
      <c r="B94" s="161"/>
      <c r="C94" s="1" t="s">
        <v>163</v>
      </c>
      <c r="D94">
        <v>1</v>
      </c>
      <c r="E94" s="51"/>
      <c r="F94" s="186"/>
    </row>
    <row r="95" spans="1:6" ht="15.75" customHeight="1" x14ac:dyDescent="0.2">
      <c r="A95" s="190"/>
      <c r="B95" s="164"/>
      <c r="C95" s="1" t="s">
        <v>164</v>
      </c>
      <c r="D95">
        <v>2</v>
      </c>
      <c r="E95" s="51"/>
      <c r="F95" s="187"/>
    </row>
    <row r="96" spans="1:6" ht="15.75" customHeight="1" x14ac:dyDescent="0.2">
      <c r="A96" s="189" t="s">
        <v>118</v>
      </c>
      <c r="B96" s="158" t="s">
        <v>206</v>
      </c>
      <c r="C96" s="5" t="s">
        <v>131</v>
      </c>
      <c r="D96" s="6">
        <v>0</v>
      </c>
      <c r="E96" s="61"/>
      <c r="F96" s="185"/>
    </row>
    <row r="97" spans="1:6" ht="15.75" customHeight="1" x14ac:dyDescent="0.2">
      <c r="A97" s="156"/>
      <c r="B97" s="161"/>
      <c r="C97" s="1" t="s">
        <v>165</v>
      </c>
      <c r="D97">
        <v>1</v>
      </c>
      <c r="E97" s="51"/>
      <c r="F97" s="186"/>
    </row>
    <row r="98" spans="1:6" ht="15.75" customHeight="1" x14ac:dyDescent="0.2">
      <c r="A98" s="190"/>
      <c r="B98" s="164"/>
      <c r="C98" s="1" t="s">
        <v>166</v>
      </c>
      <c r="D98">
        <v>2</v>
      </c>
      <c r="E98" s="51"/>
      <c r="F98" s="187"/>
    </row>
    <row r="99" spans="1:6" ht="15.75" customHeight="1" x14ac:dyDescent="0.2">
      <c r="A99" s="189" t="s">
        <v>119</v>
      </c>
      <c r="B99" s="158" t="s">
        <v>207</v>
      </c>
      <c r="C99" s="5" t="s">
        <v>131</v>
      </c>
      <c r="D99" s="6">
        <v>0</v>
      </c>
      <c r="E99" s="61"/>
      <c r="F99" s="185"/>
    </row>
    <row r="100" spans="1:6" ht="15.75" customHeight="1" x14ac:dyDescent="0.2">
      <c r="A100" s="156"/>
      <c r="B100" s="161"/>
      <c r="C100" s="1" t="s">
        <v>167</v>
      </c>
      <c r="D100">
        <v>1</v>
      </c>
      <c r="E100" s="51"/>
      <c r="F100" s="186"/>
    </row>
    <row r="101" spans="1:6" ht="15.75" customHeight="1" x14ac:dyDescent="0.2">
      <c r="A101" s="190"/>
      <c r="B101" s="164"/>
      <c r="C101" s="1" t="s">
        <v>168</v>
      </c>
      <c r="D101">
        <v>2</v>
      </c>
      <c r="E101" s="51"/>
      <c r="F101" s="187"/>
    </row>
    <row r="102" spans="1:6" ht="15.75" customHeight="1" x14ac:dyDescent="0.2">
      <c r="A102" s="189" t="s">
        <v>120</v>
      </c>
      <c r="B102" s="158" t="s">
        <v>208</v>
      </c>
      <c r="C102" s="5" t="s">
        <v>131</v>
      </c>
      <c r="D102" s="6">
        <v>0</v>
      </c>
      <c r="E102" s="61"/>
      <c r="F102" s="185"/>
    </row>
    <row r="103" spans="1:6" ht="15.75" customHeight="1" x14ac:dyDescent="0.2">
      <c r="A103" s="156"/>
      <c r="B103" s="161"/>
      <c r="C103" s="1" t="s">
        <v>169</v>
      </c>
      <c r="D103">
        <v>1</v>
      </c>
      <c r="E103" s="51"/>
      <c r="F103" s="186"/>
    </row>
    <row r="104" spans="1:6" ht="15.75" customHeight="1" x14ac:dyDescent="0.2">
      <c r="A104" s="190"/>
      <c r="B104" s="164"/>
      <c r="C104" s="1" t="s">
        <v>170</v>
      </c>
      <c r="D104">
        <v>2</v>
      </c>
      <c r="E104" s="51"/>
      <c r="F104" s="187"/>
    </row>
    <row r="105" spans="1:6" ht="15.75" customHeight="1" x14ac:dyDescent="0.2">
      <c r="A105" s="50" t="s">
        <v>121</v>
      </c>
      <c r="B105" s="56"/>
      <c r="C105" s="49"/>
      <c r="D105" s="50"/>
      <c r="E105" s="63"/>
      <c r="F105" s="63"/>
    </row>
    <row r="106" spans="1:6" ht="15.75" customHeight="1" x14ac:dyDescent="0.2">
      <c r="A106" s="189" t="s">
        <v>122</v>
      </c>
      <c r="B106" s="158" t="s">
        <v>209</v>
      </c>
      <c r="C106" s="5" t="s">
        <v>171</v>
      </c>
      <c r="D106" s="6">
        <v>0</v>
      </c>
      <c r="E106" s="61"/>
      <c r="F106" s="185"/>
    </row>
    <row r="107" spans="1:6" ht="15.75" customHeight="1" x14ac:dyDescent="0.2">
      <c r="A107" s="156"/>
      <c r="B107" s="161"/>
      <c r="C107" s="1" t="s">
        <v>172</v>
      </c>
      <c r="D107">
        <v>1</v>
      </c>
      <c r="E107" s="51"/>
      <c r="F107" s="186"/>
    </row>
    <row r="108" spans="1:6" ht="15.75" customHeight="1" x14ac:dyDescent="0.2">
      <c r="A108" s="190"/>
      <c r="B108" s="164"/>
      <c r="C108" s="53" t="s">
        <v>173</v>
      </c>
      <c r="D108" s="52">
        <v>2</v>
      </c>
      <c r="E108" s="62"/>
      <c r="F108" s="187"/>
    </row>
    <row r="109" spans="1:6" ht="15.75" customHeight="1" x14ac:dyDescent="0.2">
      <c r="A109" s="189" t="s">
        <v>123</v>
      </c>
      <c r="B109" s="158" t="s">
        <v>210</v>
      </c>
      <c r="C109" s="5" t="s">
        <v>174</v>
      </c>
      <c r="D109" s="6">
        <v>0</v>
      </c>
      <c r="E109" s="61"/>
      <c r="F109" s="185"/>
    </row>
    <row r="110" spans="1:6" ht="15.75" customHeight="1" x14ac:dyDescent="0.2">
      <c r="A110" s="156"/>
      <c r="B110" s="161"/>
      <c r="C110" s="1" t="s">
        <v>175</v>
      </c>
      <c r="D110">
        <v>1</v>
      </c>
      <c r="E110" s="51"/>
      <c r="F110" s="186"/>
    </row>
    <row r="111" spans="1:6" ht="15.75" customHeight="1" x14ac:dyDescent="0.2">
      <c r="A111" s="190"/>
      <c r="B111" s="164"/>
      <c r="C111" s="1" t="s">
        <v>176</v>
      </c>
      <c r="D111">
        <v>2</v>
      </c>
      <c r="E111" s="51"/>
      <c r="F111" s="187"/>
    </row>
    <row r="112" spans="1:6" ht="15.75" customHeight="1" x14ac:dyDescent="0.2">
      <c r="A112" s="189" t="s">
        <v>124</v>
      </c>
      <c r="B112" s="158" t="s">
        <v>211</v>
      </c>
      <c r="C112" s="5" t="s">
        <v>177</v>
      </c>
      <c r="D112" s="6">
        <v>0</v>
      </c>
      <c r="E112" s="61"/>
      <c r="F112" s="185"/>
    </row>
    <row r="113" spans="1:8" ht="15.75" customHeight="1" x14ac:dyDescent="0.2">
      <c r="A113" s="156"/>
      <c r="B113" s="161"/>
      <c r="C113" s="1" t="s">
        <v>178</v>
      </c>
      <c r="D113">
        <v>1</v>
      </c>
      <c r="E113" s="51"/>
      <c r="F113" s="186"/>
    </row>
    <row r="114" spans="1:8" ht="15.75" customHeight="1" x14ac:dyDescent="0.2">
      <c r="A114" s="190"/>
      <c r="B114" s="164"/>
      <c r="C114" s="53" t="s">
        <v>179</v>
      </c>
      <c r="D114" s="52">
        <v>2</v>
      </c>
      <c r="E114" s="62"/>
      <c r="F114" s="187"/>
    </row>
    <row r="115" spans="1:8" ht="15.75" customHeight="1" x14ac:dyDescent="0.2">
      <c r="B115" s="45"/>
    </row>
    <row r="116" spans="1:8" ht="15.75" customHeight="1" x14ac:dyDescent="0.2">
      <c r="B116" s="45"/>
    </row>
    <row r="117" spans="1:8" ht="15.75" customHeight="1" thickBot="1" x14ac:dyDescent="0.25">
      <c r="B117" s="45"/>
    </row>
    <row r="118" spans="1:8" ht="15.75" customHeight="1" x14ac:dyDescent="0.2">
      <c r="B118" s="45"/>
      <c r="F118" s="188" t="s">
        <v>364</v>
      </c>
      <c r="G118" s="170"/>
      <c r="H118" s="171"/>
    </row>
    <row r="119" spans="1:8" ht="15.75" customHeight="1" x14ac:dyDescent="0.2">
      <c r="B119" s="45"/>
      <c r="F119" s="172"/>
      <c r="G119" s="167"/>
      <c r="H119" s="173"/>
    </row>
    <row r="120" spans="1:8" ht="15.75" customHeight="1" x14ac:dyDescent="0.2">
      <c r="B120" s="45"/>
      <c r="F120" s="172"/>
      <c r="G120" s="167"/>
      <c r="H120" s="173"/>
    </row>
    <row r="121" spans="1:8" ht="15.75" customHeight="1" thickBot="1" x14ac:dyDescent="0.25">
      <c r="B121" s="45"/>
      <c r="F121" s="174"/>
      <c r="G121" s="175"/>
      <c r="H121" s="176"/>
    </row>
    <row r="122" spans="1:8" ht="15.75" customHeight="1" x14ac:dyDescent="0.2">
      <c r="B122" s="45"/>
    </row>
    <row r="123" spans="1:8" ht="15.75" customHeight="1" x14ac:dyDescent="0.2">
      <c r="B123" s="45"/>
    </row>
    <row r="124" spans="1:8" ht="15.75" customHeight="1" x14ac:dyDescent="0.2">
      <c r="B124" s="45"/>
    </row>
    <row r="125" spans="1:8" ht="15.75" customHeight="1" x14ac:dyDescent="0.2">
      <c r="B125" s="45"/>
    </row>
    <row r="126" spans="1:8" ht="15.75" customHeight="1" x14ac:dyDescent="0.2">
      <c r="B126" s="45"/>
    </row>
    <row r="127" spans="1:8" ht="15.75" customHeight="1" x14ac:dyDescent="0.2">
      <c r="B127" s="45"/>
    </row>
    <row r="128" spans="1:8" ht="15.75" customHeight="1" x14ac:dyDescent="0.2">
      <c r="B128" s="45"/>
    </row>
    <row r="129" spans="2:2" ht="15.75" customHeight="1" x14ac:dyDescent="0.2">
      <c r="B129" s="45"/>
    </row>
    <row r="130" spans="2:2" ht="15.75" customHeight="1" x14ac:dyDescent="0.2">
      <c r="B130" s="45"/>
    </row>
    <row r="131" spans="2:2" ht="15.75" customHeight="1" x14ac:dyDescent="0.2">
      <c r="B131" s="45"/>
    </row>
    <row r="132" spans="2:2" ht="15.75" customHeight="1" x14ac:dyDescent="0.2">
      <c r="B132" s="45"/>
    </row>
    <row r="133" spans="2:2" ht="15.75" customHeight="1" x14ac:dyDescent="0.2">
      <c r="B133" s="45"/>
    </row>
    <row r="134" spans="2:2" ht="15.75" customHeight="1" x14ac:dyDescent="0.2">
      <c r="B134" s="45"/>
    </row>
    <row r="135" spans="2:2" ht="15.75" customHeight="1" x14ac:dyDescent="0.2">
      <c r="B135" s="45"/>
    </row>
    <row r="136" spans="2:2" ht="15.75" customHeight="1" x14ac:dyDescent="0.2">
      <c r="B136" s="45"/>
    </row>
    <row r="137" spans="2:2" ht="15.75" customHeight="1" x14ac:dyDescent="0.2">
      <c r="B137" s="45"/>
    </row>
    <row r="138" spans="2:2" ht="15.75" customHeight="1" x14ac:dyDescent="0.2">
      <c r="B138" s="45"/>
    </row>
    <row r="139" spans="2:2" ht="15.75" customHeight="1" x14ac:dyDescent="0.2">
      <c r="B139" s="45"/>
    </row>
    <row r="140" spans="2:2" ht="15.75" customHeight="1" x14ac:dyDescent="0.2">
      <c r="B140" s="45"/>
    </row>
    <row r="141" spans="2:2" ht="15.75" customHeight="1" x14ac:dyDescent="0.2">
      <c r="B141" s="45"/>
    </row>
    <row r="142" spans="2:2" ht="15.75" customHeight="1" x14ac:dyDescent="0.2">
      <c r="B142" s="45"/>
    </row>
    <row r="143" spans="2:2" ht="15.75" customHeight="1" x14ac:dyDescent="0.2">
      <c r="B143" s="45"/>
    </row>
    <row r="144" spans="2:2" ht="15.75" customHeight="1" x14ac:dyDescent="0.2">
      <c r="B144" s="45"/>
    </row>
    <row r="145" spans="2:2" ht="15.75" customHeight="1" x14ac:dyDescent="0.2">
      <c r="B145" s="45"/>
    </row>
    <row r="146" spans="2:2" ht="15.75" customHeight="1" x14ac:dyDescent="0.2">
      <c r="B146" s="45"/>
    </row>
    <row r="147" spans="2:2" ht="15.75" customHeight="1" x14ac:dyDescent="0.2">
      <c r="B147" s="45"/>
    </row>
    <row r="148" spans="2:2" ht="15.75" customHeight="1" x14ac:dyDescent="0.2">
      <c r="B148" s="45"/>
    </row>
    <row r="149" spans="2:2" ht="15.75" customHeight="1" x14ac:dyDescent="0.2">
      <c r="B149" s="45"/>
    </row>
    <row r="150" spans="2:2" ht="15.75" customHeight="1" x14ac:dyDescent="0.2">
      <c r="B150" s="45"/>
    </row>
    <row r="151" spans="2:2" ht="15.75" customHeight="1" x14ac:dyDescent="0.2">
      <c r="B151" s="45"/>
    </row>
    <row r="152" spans="2:2" ht="15.75" customHeight="1" x14ac:dyDescent="0.2">
      <c r="B152" s="45"/>
    </row>
    <row r="153" spans="2:2" ht="15.75" customHeight="1" x14ac:dyDescent="0.2">
      <c r="B153" s="45"/>
    </row>
    <row r="154" spans="2:2" ht="15.75" customHeight="1" x14ac:dyDescent="0.2">
      <c r="B154" s="45"/>
    </row>
    <row r="155" spans="2:2" ht="15.75" customHeight="1" x14ac:dyDescent="0.2">
      <c r="B155" s="45"/>
    </row>
    <row r="156" spans="2:2" ht="15.75" customHeight="1" x14ac:dyDescent="0.2">
      <c r="B156" s="45"/>
    </row>
    <row r="157" spans="2:2" ht="15.75" customHeight="1" x14ac:dyDescent="0.2">
      <c r="B157" s="45"/>
    </row>
    <row r="158" spans="2:2" ht="15.75" customHeight="1" x14ac:dyDescent="0.2">
      <c r="B158" s="45"/>
    </row>
    <row r="159" spans="2:2" ht="15.75" customHeight="1" x14ac:dyDescent="0.2">
      <c r="B159" s="45"/>
    </row>
    <row r="160" spans="2:2" ht="15.75" customHeight="1" x14ac:dyDescent="0.2">
      <c r="B160" s="45"/>
    </row>
    <row r="161" spans="2:2" ht="15.75" customHeight="1" x14ac:dyDescent="0.2">
      <c r="B161" s="45"/>
    </row>
    <row r="162" spans="2:2" ht="15.75" customHeight="1" x14ac:dyDescent="0.2">
      <c r="B162" s="45"/>
    </row>
    <row r="163" spans="2:2" ht="15.75" customHeight="1" x14ac:dyDescent="0.2">
      <c r="B163" s="45"/>
    </row>
    <row r="164" spans="2:2" ht="15.75" customHeight="1" x14ac:dyDescent="0.2">
      <c r="B164" s="45"/>
    </row>
    <row r="165" spans="2:2" ht="15.75" customHeight="1" x14ac:dyDescent="0.2">
      <c r="B165" s="45"/>
    </row>
    <row r="166" spans="2:2" ht="15.75" customHeight="1" x14ac:dyDescent="0.2">
      <c r="B166" s="45"/>
    </row>
    <row r="167" spans="2:2" ht="15.75" customHeight="1" x14ac:dyDescent="0.2">
      <c r="B167" s="45"/>
    </row>
    <row r="168" spans="2:2" ht="15.75" customHeight="1" x14ac:dyDescent="0.2">
      <c r="B168" s="45"/>
    </row>
    <row r="169" spans="2:2" ht="15.75" customHeight="1" x14ac:dyDescent="0.2">
      <c r="B169" s="45"/>
    </row>
    <row r="170" spans="2:2" ht="15.75" customHeight="1" x14ac:dyDescent="0.2">
      <c r="B170" s="45"/>
    </row>
    <row r="171" spans="2:2" ht="15.75" customHeight="1" x14ac:dyDescent="0.2">
      <c r="B171" s="45"/>
    </row>
    <row r="172" spans="2:2" ht="15.75" customHeight="1" x14ac:dyDescent="0.2">
      <c r="B172" s="45"/>
    </row>
    <row r="173" spans="2:2" ht="15.75" customHeight="1" x14ac:dyDescent="0.2">
      <c r="B173" s="45"/>
    </row>
    <row r="174" spans="2:2" ht="15.75" customHeight="1" x14ac:dyDescent="0.2">
      <c r="B174" s="45"/>
    </row>
    <row r="175" spans="2:2" ht="15.75" customHeight="1" x14ac:dyDescent="0.2">
      <c r="B175" s="45"/>
    </row>
    <row r="176" spans="2:2" ht="15.75" customHeight="1" x14ac:dyDescent="0.2">
      <c r="B176" s="45"/>
    </row>
    <row r="177" spans="2:2" ht="15.75" customHeight="1" x14ac:dyDescent="0.2">
      <c r="B177" s="45"/>
    </row>
    <row r="178" spans="2:2" ht="15.75" customHeight="1" x14ac:dyDescent="0.2">
      <c r="B178" s="45"/>
    </row>
    <row r="179" spans="2:2" ht="15.75" customHeight="1" x14ac:dyDescent="0.2">
      <c r="B179" s="45"/>
    </row>
    <row r="180" spans="2:2" ht="15.75" customHeight="1" x14ac:dyDescent="0.2">
      <c r="B180" s="45"/>
    </row>
    <row r="181" spans="2:2" ht="15.75" customHeight="1" x14ac:dyDescent="0.2">
      <c r="B181" s="45"/>
    </row>
    <row r="182" spans="2:2" ht="15.75" customHeight="1" x14ac:dyDescent="0.2">
      <c r="B182" s="45"/>
    </row>
    <row r="183" spans="2:2" ht="15.75" customHeight="1" x14ac:dyDescent="0.2">
      <c r="B183" s="45"/>
    </row>
    <row r="184" spans="2:2" ht="15.75" customHeight="1" x14ac:dyDescent="0.2">
      <c r="B184" s="45"/>
    </row>
    <row r="185" spans="2:2" ht="15.75" customHeight="1" x14ac:dyDescent="0.2">
      <c r="B185" s="45"/>
    </row>
    <row r="186" spans="2:2" ht="15.75" customHeight="1" x14ac:dyDescent="0.2">
      <c r="B186" s="45"/>
    </row>
    <row r="187" spans="2:2" ht="15.75" customHeight="1" x14ac:dyDescent="0.2">
      <c r="B187" s="45"/>
    </row>
    <row r="188" spans="2:2" ht="15.75" customHeight="1" x14ac:dyDescent="0.2">
      <c r="B188" s="45"/>
    </row>
    <row r="189" spans="2:2" ht="15.75" customHeight="1" x14ac:dyDescent="0.2">
      <c r="B189" s="45"/>
    </row>
    <row r="190" spans="2:2" ht="15.75" customHeight="1" x14ac:dyDescent="0.2">
      <c r="B190" s="45"/>
    </row>
    <row r="191" spans="2:2" ht="15.75" customHeight="1" x14ac:dyDescent="0.2">
      <c r="B191" s="45"/>
    </row>
    <row r="192" spans="2:2" ht="15.75" customHeight="1" x14ac:dyDescent="0.2">
      <c r="B192" s="45"/>
    </row>
    <row r="193" spans="2:2" ht="15.75" customHeight="1" x14ac:dyDescent="0.2">
      <c r="B193" s="45"/>
    </row>
    <row r="194" spans="2:2" ht="15.75" customHeight="1" x14ac:dyDescent="0.2">
      <c r="B194" s="45"/>
    </row>
    <row r="195" spans="2:2" ht="15.75" customHeight="1" x14ac:dyDescent="0.2">
      <c r="B195" s="45"/>
    </row>
    <row r="196" spans="2:2" ht="15.75" customHeight="1" x14ac:dyDescent="0.2">
      <c r="B196" s="45"/>
    </row>
    <row r="197" spans="2:2" ht="15.75" customHeight="1" x14ac:dyDescent="0.2">
      <c r="B197" s="45"/>
    </row>
    <row r="198" spans="2:2" ht="15.75" customHeight="1" x14ac:dyDescent="0.2">
      <c r="B198" s="45"/>
    </row>
    <row r="199" spans="2:2" ht="15.75" customHeight="1" x14ac:dyDescent="0.2">
      <c r="B199" s="45"/>
    </row>
    <row r="200" spans="2:2" ht="15.75" customHeight="1" x14ac:dyDescent="0.2">
      <c r="B200" s="45"/>
    </row>
    <row r="201" spans="2:2" ht="15.75" customHeight="1" x14ac:dyDescent="0.2">
      <c r="B201" s="45"/>
    </row>
    <row r="202" spans="2:2" ht="15.75" customHeight="1" x14ac:dyDescent="0.2">
      <c r="B202" s="45"/>
    </row>
    <row r="203" spans="2:2" ht="15.75" customHeight="1" x14ac:dyDescent="0.2">
      <c r="B203" s="45"/>
    </row>
    <row r="204" spans="2:2" ht="15.75" customHeight="1" x14ac:dyDescent="0.2">
      <c r="B204" s="45"/>
    </row>
    <row r="205" spans="2:2" ht="15.75" customHeight="1" x14ac:dyDescent="0.2">
      <c r="B205" s="45"/>
    </row>
    <row r="206" spans="2:2" ht="15.75" customHeight="1" x14ac:dyDescent="0.2">
      <c r="B206" s="45"/>
    </row>
    <row r="207" spans="2:2" ht="15.75" customHeight="1" x14ac:dyDescent="0.2">
      <c r="B207" s="45"/>
    </row>
    <row r="208" spans="2:2" ht="15.75" customHeight="1" x14ac:dyDescent="0.2">
      <c r="B208" s="45"/>
    </row>
    <row r="209" spans="2:2" ht="15.75" customHeight="1" x14ac:dyDescent="0.2">
      <c r="B209" s="45"/>
    </row>
    <row r="210" spans="2:2" ht="15.75" customHeight="1" x14ac:dyDescent="0.2">
      <c r="B210" s="45"/>
    </row>
    <row r="211" spans="2:2" ht="15.75" customHeight="1" x14ac:dyDescent="0.2">
      <c r="B211" s="45"/>
    </row>
    <row r="212" spans="2:2" ht="15.75" customHeight="1" x14ac:dyDescent="0.2">
      <c r="B212" s="45"/>
    </row>
    <row r="213" spans="2:2" ht="15.75" customHeight="1" x14ac:dyDescent="0.2">
      <c r="B213" s="45"/>
    </row>
    <row r="214" spans="2:2" ht="15.75" customHeight="1" x14ac:dyDescent="0.2">
      <c r="B214" s="45"/>
    </row>
    <row r="215" spans="2:2" ht="15.75" customHeight="1" x14ac:dyDescent="0.2">
      <c r="B215" s="45"/>
    </row>
    <row r="216" spans="2:2" ht="15.75" customHeight="1" x14ac:dyDescent="0.2">
      <c r="B216" s="45"/>
    </row>
    <row r="217" spans="2:2" ht="15.75" customHeight="1" x14ac:dyDescent="0.2">
      <c r="B217" s="45"/>
    </row>
    <row r="218" spans="2:2" ht="15.75" customHeight="1" x14ac:dyDescent="0.2">
      <c r="B218" s="45"/>
    </row>
    <row r="219" spans="2:2" ht="15.75" customHeight="1" x14ac:dyDescent="0.2">
      <c r="B219" s="45"/>
    </row>
    <row r="220" spans="2:2" ht="15.75" customHeight="1" x14ac:dyDescent="0.2">
      <c r="B220" s="45"/>
    </row>
    <row r="221" spans="2:2" ht="15.75" customHeight="1" x14ac:dyDescent="0.2">
      <c r="B221" s="45"/>
    </row>
    <row r="222" spans="2:2" ht="15.75" customHeight="1" x14ac:dyDescent="0.2">
      <c r="B222" s="45"/>
    </row>
    <row r="223" spans="2:2" ht="15.75" customHeight="1" x14ac:dyDescent="0.2">
      <c r="B223" s="45"/>
    </row>
    <row r="224" spans="2:2" ht="15.75" customHeight="1" x14ac:dyDescent="0.2">
      <c r="B224" s="45"/>
    </row>
    <row r="225" spans="2:2" ht="15.75" customHeight="1" x14ac:dyDescent="0.2">
      <c r="B225" s="45"/>
    </row>
    <row r="226" spans="2:2" ht="15.75" customHeight="1" x14ac:dyDescent="0.2">
      <c r="B226" s="45"/>
    </row>
    <row r="227" spans="2:2" ht="15.75" customHeight="1" x14ac:dyDescent="0.2">
      <c r="B227" s="45"/>
    </row>
    <row r="228" spans="2:2" ht="15.75" customHeight="1" x14ac:dyDescent="0.2">
      <c r="B228" s="45"/>
    </row>
    <row r="229" spans="2:2" ht="15.75" customHeight="1" x14ac:dyDescent="0.2">
      <c r="B229" s="45"/>
    </row>
    <row r="230" spans="2:2" ht="15.75" customHeight="1" x14ac:dyDescent="0.2">
      <c r="B230" s="45"/>
    </row>
    <row r="231" spans="2:2" ht="15.75" customHeight="1" x14ac:dyDescent="0.2">
      <c r="B231" s="45"/>
    </row>
    <row r="232" spans="2:2" ht="15.75" customHeight="1" x14ac:dyDescent="0.2">
      <c r="B232" s="45"/>
    </row>
    <row r="233" spans="2:2" ht="15.75" customHeight="1" x14ac:dyDescent="0.2">
      <c r="B233" s="45"/>
    </row>
    <row r="234" spans="2:2" ht="15.75" customHeight="1" x14ac:dyDescent="0.2">
      <c r="B234" s="45"/>
    </row>
    <row r="235" spans="2:2" ht="15.75" customHeight="1" x14ac:dyDescent="0.2">
      <c r="B235" s="45"/>
    </row>
    <row r="236" spans="2:2" ht="15.75" customHeight="1" x14ac:dyDescent="0.2">
      <c r="B236" s="45"/>
    </row>
    <row r="237" spans="2:2" ht="15.75" customHeight="1" x14ac:dyDescent="0.2">
      <c r="B237" s="45"/>
    </row>
    <row r="238" spans="2:2" ht="15.75" customHeight="1" x14ac:dyDescent="0.2">
      <c r="B238" s="45"/>
    </row>
    <row r="239" spans="2:2" ht="15.75" customHeight="1" x14ac:dyDescent="0.2">
      <c r="B239" s="45"/>
    </row>
    <row r="240" spans="2:2" ht="15.75" customHeight="1" x14ac:dyDescent="0.2">
      <c r="B240" s="45"/>
    </row>
  </sheetData>
  <mergeCells count="100">
    <mergeCell ref="A106:A108"/>
    <mergeCell ref="B106:B108"/>
    <mergeCell ref="B109:B111"/>
    <mergeCell ref="A109:A111"/>
    <mergeCell ref="A112:A114"/>
    <mergeCell ref="B112:B114"/>
    <mergeCell ref="B93:B95"/>
    <mergeCell ref="B96:B98"/>
    <mergeCell ref="B99:B101"/>
    <mergeCell ref="B102:B104"/>
    <mergeCell ref="A102:A104"/>
    <mergeCell ref="A99:A101"/>
    <mergeCell ref="A96:A98"/>
    <mergeCell ref="A93:A95"/>
    <mergeCell ref="A84:A86"/>
    <mergeCell ref="B84:B86"/>
    <mergeCell ref="B87:B89"/>
    <mergeCell ref="A87:A89"/>
    <mergeCell ref="A90:A92"/>
    <mergeCell ref="B90:B92"/>
    <mergeCell ref="A74:A76"/>
    <mergeCell ref="B74:B76"/>
    <mergeCell ref="B77:B79"/>
    <mergeCell ref="A77:A79"/>
    <mergeCell ref="A80:A82"/>
    <mergeCell ref="B80:B82"/>
    <mergeCell ref="B63:B66"/>
    <mergeCell ref="A63:A66"/>
    <mergeCell ref="A68:A70"/>
    <mergeCell ref="B68:B70"/>
    <mergeCell ref="B71:B73"/>
    <mergeCell ref="A71:A73"/>
    <mergeCell ref="A53:A55"/>
    <mergeCell ref="B53:B55"/>
    <mergeCell ref="B56:B58"/>
    <mergeCell ref="A56:A58"/>
    <mergeCell ref="A59:A61"/>
    <mergeCell ref="B59:B61"/>
    <mergeCell ref="A43:A45"/>
    <mergeCell ref="B43:B45"/>
    <mergeCell ref="B46:B48"/>
    <mergeCell ref="A46:A48"/>
    <mergeCell ref="A49:A51"/>
    <mergeCell ref="B49:B51"/>
    <mergeCell ref="B33:B35"/>
    <mergeCell ref="A33:A35"/>
    <mergeCell ref="A36:A38"/>
    <mergeCell ref="B36:B38"/>
    <mergeCell ref="A39:A41"/>
    <mergeCell ref="B39:B41"/>
    <mergeCell ref="A20:A22"/>
    <mergeCell ref="A23:A25"/>
    <mergeCell ref="A26:A28"/>
    <mergeCell ref="A29:A31"/>
    <mergeCell ref="B14:B16"/>
    <mergeCell ref="B17:B19"/>
    <mergeCell ref="B20:B22"/>
    <mergeCell ref="B23:B25"/>
    <mergeCell ref="B26:B28"/>
    <mergeCell ref="B29:B31"/>
    <mergeCell ref="A17:A19"/>
    <mergeCell ref="A9:A10"/>
    <mergeCell ref="A11:A12"/>
    <mergeCell ref="B11:B12"/>
    <mergeCell ref="B9:B10"/>
    <mergeCell ref="A14:A16"/>
    <mergeCell ref="F9:F10"/>
    <mergeCell ref="F11:F12"/>
    <mergeCell ref="F14:F16"/>
    <mergeCell ref="F17:F19"/>
    <mergeCell ref="F20:F22"/>
    <mergeCell ref="F23:F25"/>
    <mergeCell ref="F26:F28"/>
    <mergeCell ref="F29:F31"/>
    <mergeCell ref="F33:F35"/>
    <mergeCell ref="F36:F38"/>
    <mergeCell ref="F56:F58"/>
    <mergeCell ref="F59:F61"/>
    <mergeCell ref="F63:F66"/>
    <mergeCell ref="F68:F70"/>
    <mergeCell ref="F39:F41"/>
    <mergeCell ref="F43:F45"/>
    <mergeCell ref="F46:F48"/>
    <mergeCell ref="F49:F51"/>
    <mergeCell ref="F53:F55"/>
    <mergeCell ref="F112:F114"/>
    <mergeCell ref="F109:F111"/>
    <mergeCell ref="F106:F108"/>
    <mergeCell ref="F118:H121"/>
    <mergeCell ref="F71:F73"/>
    <mergeCell ref="F74:F76"/>
    <mergeCell ref="F77:F79"/>
    <mergeCell ref="F80:F82"/>
    <mergeCell ref="F102:F104"/>
    <mergeCell ref="F99:F101"/>
    <mergeCell ref="F96:F98"/>
    <mergeCell ref="F93:F95"/>
    <mergeCell ref="F90:F92"/>
    <mergeCell ref="F87:F89"/>
    <mergeCell ref="F84:F86"/>
  </mergeCells>
  <dataValidations count="3">
    <dataValidation type="list" allowBlank="1" showInputMessage="1" showErrorMessage="1" sqref="F3" xr:uid="{DC1EC303-1085-4996-8CEE-38D4F479EC70}">
      <formula1>"Left, Right"</formula1>
    </dataValidation>
    <dataValidation type="list" allowBlank="1" showInputMessage="1" showErrorMessage="1" sqref="F80 F11 F29 F39 F49 F87 F59 F9 F14 F17 F20 F23 F26 F33 F36 F43 F46 F53 F56 F68 F71 F74 F77 F102 F99 F96 F93 F90 F84 F112 F106 F109" xr:uid="{9F1000CF-5D89-4C59-85E8-B781A3F17B70}">
      <formula1>"0,1,2"</formula1>
    </dataValidation>
    <dataValidation type="list" allowBlank="1" showInputMessage="1" showErrorMessage="1" sqref="F63" xr:uid="{802A7CFF-D89C-4907-8EAA-8EDB0275CB2B}">
      <formula1>"X,0,1,2"</formula1>
    </dataValidation>
  </dataValidations>
  <hyperlinks>
    <hyperlink ref="B2" r:id="rId1" xr:uid="{6FA00E90-4B32-46DF-BC77-A6B9BBD9A26F}"/>
    <hyperlink ref="E2" r:id="rId2" xr:uid="{F10B8ED8-9F4A-442C-8492-B896D74D2BB8}"/>
  </hyperlinks>
  <pageMargins left="0.7" right="0.7" top="0.75" bottom="0.75" header="0.3" footer="0.3"/>
  <pageSetup orientation="portrait" r:id="rId3"/>
  <legacy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6"/>
  <sheetViews>
    <sheetView workbookViewId="0">
      <selection activeCell="I27" sqref="I27"/>
    </sheetView>
  </sheetViews>
  <sheetFormatPr defaultColWidth="12.5703125" defaultRowHeight="15.75" customHeight="1" x14ac:dyDescent="0.2"/>
  <cols>
    <col min="1" max="1" width="17.42578125" bestFit="1" customWidth="1"/>
    <col min="2" max="2" width="50" bestFit="1" customWidth="1"/>
    <col min="3" max="3" width="12.140625" bestFit="1" customWidth="1"/>
    <col min="4" max="4" width="19.140625" customWidth="1"/>
    <col min="5" max="5" width="22.140625" customWidth="1"/>
  </cols>
  <sheetData>
    <row r="1" spans="1:5" ht="15.75" customHeight="1" x14ac:dyDescent="0.2">
      <c r="A1" s="1" t="s">
        <v>4</v>
      </c>
      <c r="B1" s="43" t="s">
        <v>76</v>
      </c>
    </row>
    <row r="2" spans="1:5" ht="15.75" customHeight="1" x14ac:dyDescent="0.2">
      <c r="A2" s="9"/>
    </row>
    <row r="3" spans="1:5" ht="15.75" customHeight="1" x14ac:dyDescent="0.2">
      <c r="A3" s="7" t="s">
        <v>1</v>
      </c>
      <c r="B3" s="71" t="str">
        <f>'1_patient_info'!B3</f>
        <v>##</v>
      </c>
      <c r="C3" s="7" t="s">
        <v>5</v>
      </c>
      <c r="D3" s="71" t="s">
        <v>313</v>
      </c>
    </row>
    <row r="4" spans="1:5" ht="15.75" customHeight="1" x14ac:dyDescent="0.2">
      <c r="A4" s="7" t="s">
        <v>331</v>
      </c>
      <c r="B4" s="31" t="str">
        <f>'1_patient_info'!B6</f>
        <v>Right</v>
      </c>
    </row>
    <row r="6" spans="1:5" ht="15.75" customHeight="1" x14ac:dyDescent="0.2">
      <c r="A6" s="1" t="s">
        <v>7</v>
      </c>
      <c r="B6" s="32" t="s">
        <v>75</v>
      </c>
    </row>
    <row r="8" spans="1:5" ht="15.75" customHeight="1" x14ac:dyDescent="0.2">
      <c r="A8" s="9" t="s">
        <v>408</v>
      </c>
    </row>
    <row r="9" spans="1:5" ht="15.75" customHeight="1" x14ac:dyDescent="0.2">
      <c r="A9" s="30" t="s">
        <v>8</v>
      </c>
      <c r="B9" s="30" t="s">
        <v>9</v>
      </c>
      <c r="C9" s="30" t="s">
        <v>10</v>
      </c>
      <c r="D9" s="30" t="s">
        <v>11</v>
      </c>
      <c r="E9" s="30" t="s">
        <v>12</v>
      </c>
    </row>
    <row r="10" spans="1:5" ht="15.75" customHeight="1" x14ac:dyDescent="0.2">
      <c r="A10" s="42" t="s">
        <v>313</v>
      </c>
      <c r="B10" s="1" t="s">
        <v>6</v>
      </c>
      <c r="C10" s="1" t="s">
        <v>330</v>
      </c>
    </row>
    <row r="11" spans="1:5" ht="15.75" customHeight="1" x14ac:dyDescent="0.2">
      <c r="A11" s="42" t="s">
        <v>313</v>
      </c>
      <c r="B11" s="1" t="s">
        <v>13</v>
      </c>
      <c r="C11" s="1" t="s">
        <v>330</v>
      </c>
    </row>
    <row r="13" spans="1:5" ht="15.75" customHeight="1" x14ac:dyDescent="0.2">
      <c r="A13" s="9" t="s">
        <v>409</v>
      </c>
    </row>
    <row r="14" spans="1:5" ht="15.75" customHeight="1" x14ac:dyDescent="0.2">
      <c r="A14" s="30" t="s">
        <v>8</v>
      </c>
      <c r="B14" s="30" t="s">
        <v>9</v>
      </c>
      <c r="C14" s="30" t="s">
        <v>10</v>
      </c>
      <c r="D14" s="30" t="s">
        <v>11</v>
      </c>
      <c r="E14" s="30" t="s">
        <v>12</v>
      </c>
    </row>
    <row r="15" spans="1:5" ht="15.75" customHeight="1" x14ac:dyDescent="0.2">
      <c r="A15" s="42" t="s">
        <v>313</v>
      </c>
      <c r="B15" s="1" t="s">
        <v>6</v>
      </c>
      <c r="C15" s="1" t="s">
        <v>330</v>
      </c>
    </row>
    <row r="16" spans="1:5" ht="15.75" customHeight="1" x14ac:dyDescent="0.2">
      <c r="A16" s="42" t="s">
        <v>313</v>
      </c>
      <c r="B16" s="1" t="s">
        <v>13</v>
      </c>
      <c r="C16" s="1" t="s">
        <v>330</v>
      </c>
    </row>
  </sheetData>
  <phoneticPr fontId="4" type="noConversion"/>
  <dataValidations count="2">
    <dataValidation type="list" allowBlank="1" showInputMessage="1" showErrorMessage="1" sqref="B10:B11 B15:B16 B4" xr:uid="{DAE3841A-DDEB-4299-8576-E23D05E6CA31}">
      <formula1>"Left, Right"</formula1>
    </dataValidation>
    <dataValidation type="whole" allowBlank="1" showInputMessage="1" showErrorMessage="1" errorTitle="Invalid number of blocks" error="Cannot have more than 150 blocks or less than 0 blocks" sqref="D10:D11 D15:D16" xr:uid="{26A3F442-B2AF-4BE0-8741-DB8E63D49D3D}">
      <formula1>0</formula1>
      <formula2>150</formula2>
    </dataValidation>
  </dataValidations>
  <hyperlinks>
    <hyperlink ref="B1" r:id="rId1" xr:uid="{E3F1081E-5A98-4D94-821B-88FCCAB83CC8}"/>
  </hyperlinks>
  <pageMargins left="0.7" right="0.7" top="0.75" bottom="0.75" header="0.3" footer="0.3"/>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53"/>
  <sheetViews>
    <sheetView topLeftCell="A10" workbookViewId="0">
      <selection activeCell="G45" sqref="G45"/>
    </sheetView>
  </sheetViews>
  <sheetFormatPr defaultColWidth="12.5703125" defaultRowHeight="15.75" customHeight="1" x14ac:dyDescent="0.2"/>
  <cols>
    <col min="1" max="1" width="74.42578125" bestFit="1" customWidth="1"/>
    <col min="2" max="3" width="17.42578125" customWidth="1"/>
    <col min="4" max="4" width="19.5703125" customWidth="1"/>
  </cols>
  <sheetData>
    <row r="1" spans="1:4" ht="15.75" customHeight="1" x14ac:dyDescent="0.2">
      <c r="A1" s="2" t="s">
        <v>404</v>
      </c>
    </row>
    <row r="2" spans="1:4" ht="15.75" customHeight="1" thickBot="1" x14ac:dyDescent="0.25"/>
    <row r="3" spans="1:4" ht="15.75" customHeight="1" thickBot="1" x14ac:dyDescent="0.25">
      <c r="A3" s="102" t="s">
        <v>1</v>
      </c>
      <c r="B3" s="104" t="str">
        <f>'1_patient_info'!B3</f>
        <v>##</v>
      </c>
      <c r="C3" s="102" t="s">
        <v>5</v>
      </c>
      <c r="D3" s="110" t="s">
        <v>313</v>
      </c>
    </row>
    <row r="4" spans="1:4" ht="15.75" customHeight="1" x14ac:dyDescent="0.2">
      <c r="A4" s="42"/>
      <c r="B4" s="9"/>
    </row>
    <row r="5" spans="1:4" ht="15.75" customHeight="1" thickBot="1" x14ac:dyDescent="0.25"/>
    <row r="6" spans="1:4" ht="15.75" customHeight="1" thickBot="1" x14ac:dyDescent="0.25">
      <c r="A6" s="75" t="s">
        <v>344</v>
      </c>
      <c r="B6" s="76"/>
      <c r="C6" s="199" t="s">
        <v>420</v>
      </c>
      <c r="D6" s="200"/>
    </row>
    <row r="7" spans="1:4" ht="15.75" customHeight="1" thickBot="1" x14ac:dyDescent="0.25">
      <c r="A7" s="77" t="s">
        <v>345</v>
      </c>
      <c r="B7" s="78" t="s">
        <v>346</v>
      </c>
      <c r="C7" s="78" t="s">
        <v>347</v>
      </c>
      <c r="D7" s="79" t="s">
        <v>348</v>
      </c>
    </row>
    <row r="8" spans="1:4" ht="15.75" customHeight="1" x14ac:dyDescent="0.25">
      <c r="A8" s="80">
        <v>1</v>
      </c>
      <c r="B8" s="81" t="s">
        <v>349</v>
      </c>
      <c r="C8" s="82">
        <v>0</v>
      </c>
      <c r="D8" s="83"/>
    </row>
    <row r="9" spans="1:4" ht="15.75" customHeight="1" x14ac:dyDescent="0.25">
      <c r="A9" s="84">
        <v>2</v>
      </c>
      <c r="B9" s="85" t="s">
        <v>350</v>
      </c>
      <c r="C9" s="86">
        <v>0</v>
      </c>
      <c r="D9" s="87"/>
    </row>
    <row r="10" spans="1:4" ht="15.75" customHeight="1" x14ac:dyDescent="0.25">
      <c r="A10" s="80">
        <v>3</v>
      </c>
      <c r="B10" s="81" t="s">
        <v>351</v>
      </c>
      <c r="C10" s="82">
        <v>0</v>
      </c>
      <c r="D10" s="83"/>
    </row>
    <row r="11" spans="1:4" ht="15.75" customHeight="1" x14ac:dyDescent="0.2">
      <c r="A11" s="84">
        <v>4</v>
      </c>
      <c r="B11" s="85" t="s">
        <v>352</v>
      </c>
      <c r="C11" s="88">
        <v>0</v>
      </c>
      <c r="D11" s="89"/>
    </row>
    <row r="12" spans="1:4" ht="15.75" customHeight="1" x14ac:dyDescent="0.25">
      <c r="A12" s="90">
        <v>5</v>
      </c>
      <c r="B12" s="91" t="s">
        <v>353</v>
      </c>
      <c r="C12" s="92">
        <v>0</v>
      </c>
      <c r="D12" s="93"/>
    </row>
    <row r="13" spans="1:4" ht="15.75" customHeight="1" thickBot="1" x14ac:dyDescent="0.3">
      <c r="A13" s="94"/>
      <c r="B13" s="95" t="s">
        <v>354</v>
      </c>
      <c r="C13" s="96">
        <f>SUM(C8:C12)</f>
        <v>0</v>
      </c>
      <c r="D13" s="96">
        <f>SUM(D8:D12)</f>
        <v>0</v>
      </c>
    </row>
    <row r="14" spans="1:4" ht="15.75" customHeight="1" thickBot="1" x14ac:dyDescent="0.25"/>
    <row r="15" spans="1:4" ht="15.75" customHeight="1" thickBot="1" x14ac:dyDescent="0.25">
      <c r="A15" s="75" t="s">
        <v>355</v>
      </c>
      <c r="B15" s="76"/>
      <c r="C15" s="199" t="s">
        <v>420</v>
      </c>
      <c r="D15" s="200"/>
    </row>
    <row r="16" spans="1:4" ht="15.75" customHeight="1" thickBot="1" x14ac:dyDescent="0.25">
      <c r="A16" s="77" t="s">
        <v>345</v>
      </c>
      <c r="B16" s="78" t="s">
        <v>346</v>
      </c>
      <c r="C16" s="78" t="s">
        <v>347</v>
      </c>
      <c r="D16" s="79" t="s">
        <v>348</v>
      </c>
    </row>
    <row r="17" spans="1:4" ht="15.75" customHeight="1" x14ac:dyDescent="0.25">
      <c r="A17" s="80">
        <v>1</v>
      </c>
      <c r="B17" s="81" t="s">
        <v>349</v>
      </c>
      <c r="C17" s="82">
        <v>0</v>
      </c>
      <c r="D17" s="83"/>
    </row>
    <row r="18" spans="1:4" ht="15.75" customHeight="1" x14ac:dyDescent="0.25">
      <c r="A18" s="84">
        <v>2</v>
      </c>
      <c r="B18" s="85" t="s">
        <v>350</v>
      </c>
      <c r="C18" s="86">
        <v>0</v>
      </c>
      <c r="D18" s="87"/>
    </row>
    <row r="19" spans="1:4" ht="15.75" customHeight="1" x14ac:dyDescent="0.25">
      <c r="A19" s="80">
        <v>3</v>
      </c>
      <c r="B19" s="81" t="s">
        <v>356</v>
      </c>
      <c r="C19" s="82">
        <v>0</v>
      </c>
      <c r="D19" s="83"/>
    </row>
    <row r="20" spans="1:4" ht="15.75" customHeight="1" x14ac:dyDescent="0.25">
      <c r="A20" s="84">
        <v>4</v>
      </c>
      <c r="B20" s="85" t="s">
        <v>353</v>
      </c>
      <c r="C20" s="86">
        <v>0</v>
      </c>
      <c r="D20" s="87"/>
    </row>
    <row r="21" spans="1:4" ht="15.75" customHeight="1" thickBot="1" x14ac:dyDescent="0.3">
      <c r="A21" s="97"/>
      <c r="B21" s="98" t="s">
        <v>354</v>
      </c>
      <c r="C21" s="99">
        <f>SUM(C17:C20)</f>
        <v>0</v>
      </c>
      <c r="D21" s="99">
        <f>SUM(D17:D20)</f>
        <v>0</v>
      </c>
    </row>
    <row r="22" spans="1:4" ht="15.75" customHeight="1" thickBot="1" x14ac:dyDescent="0.25"/>
    <row r="23" spans="1:4" ht="15.75" customHeight="1" thickBot="1" x14ac:dyDescent="0.25">
      <c r="A23" s="75" t="s">
        <v>357</v>
      </c>
      <c r="B23" s="76"/>
      <c r="C23" s="199" t="s">
        <v>420</v>
      </c>
      <c r="D23" s="200"/>
    </row>
    <row r="24" spans="1:4" ht="15.75" customHeight="1" thickBot="1" x14ac:dyDescent="0.25">
      <c r="A24" s="77" t="s">
        <v>345</v>
      </c>
      <c r="B24" s="78" t="s">
        <v>346</v>
      </c>
      <c r="C24" s="78" t="s">
        <v>347</v>
      </c>
      <c r="D24" s="79" t="s">
        <v>348</v>
      </c>
    </row>
    <row r="25" spans="1:4" ht="15.75" customHeight="1" x14ac:dyDescent="0.25">
      <c r="A25" s="80">
        <v>1</v>
      </c>
      <c r="B25" s="81" t="s">
        <v>349</v>
      </c>
      <c r="C25" s="82">
        <v>0</v>
      </c>
      <c r="D25" s="83"/>
    </row>
    <row r="26" spans="1:4" ht="15.75" customHeight="1" x14ac:dyDescent="0.25">
      <c r="A26" s="84">
        <v>2</v>
      </c>
      <c r="B26" s="85" t="s">
        <v>350</v>
      </c>
      <c r="C26" s="86">
        <v>0</v>
      </c>
      <c r="D26" s="87"/>
    </row>
    <row r="27" spans="1:4" ht="15.75" customHeight="1" x14ac:dyDescent="0.25">
      <c r="A27" s="80">
        <v>3</v>
      </c>
      <c r="B27" s="81" t="s">
        <v>358</v>
      </c>
      <c r="C27" s="82">
        <v>0</v>
      </c>
      <c r="D27" s="83"/>
    </row>
    <row r="28" spans="1:4" ht="15.75" customHeight="1" x14ac:dyDescent="0.25">
      <c r="A28" s="84">
        <v>4</v>
      </c>
      <c r="B28" s="85" t="s">
        <v>353</v>
      </c>
      <c r="C28" s="86">
        <v>0</v>
      </c>
      <c r="D28" s="87"/>
    </row>
    <row r="29" spans="1:4" ht="15.75" customHeight="1" thickBot="1" x14ac:dyDescent="0.3">
      <c r="A29" s="97"/>
      <c r="B29" s="98" t="s">
        <v>354</v>
      </c>
      <c r="C29" s="99">
        <f>SUM(C25:C28)</f>
        <v>0</v>
      </c>
      <c r="D29" s="99">
        <f>SUM(D25:D28)</f>
        <v>0</v>
      </c>
    </row>
    <row r="30" spans="1:4" ht="15.75" customHeight="1" thickBot="1" x14ac:dyDescent="0.25"/>
    <row r="31" spans="1:4" ht="15.75" customHeight="1" thickBot="1" x14ac:dyDescent="0.25">
      <c r="A31" s="75" t="s">
        <v>359</v>
      </c>
      <c r="B31" s="76"/>
      <c r="C31" s="199" t="s">
        <v>420</v>
      </c>
      <c r="D31" s="200"/>
    </row>
    <row r="32" spans="1:4" ht="15.75" customHeight="1" thickBot="1" x14ac:dyDescent="0.25">
      <c r="A32" s="77" t="s">
        <v>345</v>
      </c>
      <c r="B32" s="78" t="s">
        <v>346</v>
      </c>
      <c r="C32" s="78" t="s">
        <v>347</v>
      </c>
      <c r="D32" s="79" t="s">
        <v>348</v>
      </c>
    </row>
    <row r="33" spans="1:4" ht="15.75" customHeight="1" x14ac:dyDescent="0.25">
      <c r="A33" s="80">
        <v>1</v>
      </c>
      <c r="B33" s="81" t="s">
        <v>349</v>
      </c>
      <c r="C33" s="82">
        <v>0</v>
      </c>
      <c r="D33" s="82"/>
    </row>
    <row r="34" spans="1:4" ht="15.75" customHeight="1" x14ac:dyDescent="0.25">
      <c r="A34" s="84">
        <v>2</v>
      </c>
      <c r="B34" s="85" t="s">
        <v>350</v>
      </c>
      <c r="C34" s="86">
        <v>0</v>
      </c>
      <c r="D34" s="86"/>
    </row>
    <row r="35" spans="1:4" ht="15.75" customHeight="1" x14ac:dyDescent="0.25">
      <c r="A35" s="80">
        <v>3</v>
      </c>
      <c r="B35" s="81" t="s">
        <v>360</v>
      </c>
      <c r="C35" s="82">
        <v>0</v>
      </c>
      <c r="D35" s="82"/>
    </row>
    <row r="36" spans="1:4" ht="15.75" customHeight="1" x14ac:dyDescent="0.25">
      <c r="A36" s="84">
        <v>4</v>
      </c>
      <c r="B36" s="85" t="s">
        <v>353</v>
      </c>
      <c r="C36" s="86">
        <v>0</v>
      </c>
      <c r="D36" s="86"/>
    </row>
    <row r="37" spans="1:4" ht="15.75" customHeight="1" thickBot="1" x14ac:dyDescent="0.3">
      <c r="A37" s="97"/>
      <c r="B37" s="98" t="s">
        <v>354</v>
      </c>
      <c r="C37" s="99">
        <f>SUM(C33:C36)</f>
        <v>0</v>
      </c>
      <c r="D37" s="99">
        <f>SUM(D33:D36)</f>
        <v>0</v>
      </c>
    </row>
    <row r="38" spans="1:4" ht="15.75" customHeight="1" thickBot="1" x14ac:dyDescent="0.25"/>
    <row r="39" spans="1:4" ht="15.75" customHeight="1" thickBot="1" x14ac:dyDescent="0.25">
      <c r="A39" s="138" t="s">
        <v>361</v>
      </c>
      <c r="B39" s="139"/>
      <c r="C39" s="197" t="s">
        <v>420</v>
      </c>
      <c r="D39" s="198"/>
    </row>
    <row r="40" spans="1:4" ht="15.75" customHeight="1" thickBot="1" x14ac:dyDescent="0.25">
      <c r="A40" s="140" t="s">
        <v>345</v>
      </c>
      <c r="B40" s="141" t="s">
        <v>346</v>
      </c>
      <c r="C40" s="141" t="s">
        <v>347</v>
      </c>
      <c r="D40" s="142" t="s">
        <v>348</v>
      </c>
    </row>
    <row r="41" spans="1:4" ht="15.75" customHeight="1" x14ac:dyDescent="0.25">
      <c r="A41" s="143">
        <v>1</v>
      </c>
      <c r="B41" s="144" t="s">
        <v>349</v>
      </c>
      <c r="C41" s="145">
        <v>0</v>
      </c>
      <c r="D41" s="145"/>
    </row>
    <row r="42" spans="1:4" ht="15.75" customHeight="1" x14ac:dyDescent="0.25">
      <c r="A42" s="143">
        <v>2</v>
      </c>
      <c r="B42" s="144" t="s">
        <v>350</v>
      </c>
      <c r="C42" s="145">
        <v>0</v>
      </c>
      <c r="D42" s="145"/>
    </row>
    <row r="43" spans="1:4" ht="15.75" customHeight="1" x14ac:dyDescent="0.25">
      <c r="A43" s="143">
        <v>3</v>
      </c>
      <c r="B43" s="144" t="s">
        <v>360</v>
      </c>
      <c r="C43" s="145">
        <v>0</v>
      </c>
      <c r="D43" s="145"/>
    </row>
    <row r="44" spans="1:4" ht="15.75" customHeight="1" x14ac:dyDescent="0.25">
      <c r="A44" s="143">
        <v>4</v>
      </c>
      <c r="B44" s="144" t="s">
        <v>353</v>
      </c>
      <c r="C44" s="145">
        <v>0</v>
      </c>
      <c r="D44" s="145"/>
    </row>
    <row r="45" spans="1:4" ht="15.75" customHeight="1" thickBot="1" x14ac:dyDescent="0.3">
      <c r="A45" s="140"/>
      <c r="B45" s="146" t="s">
        <v>354</v>
      </c>
      <c r="C45" s="147">
        <f>SUM(C41:C44)</f>
        <v>0</v>
      </c>
      <c r="D45" s="147">
        <f>SUM(D41:D44)</f>
        <v>0</v>
      </c>
    </row>
    <row r="46" spans="1:4" ht="15.75" customHeight="1" thickBot="1" x14ac:dyDescent="0.25">
      <c r="A46" s="148"/>
      <c r="B46" s="149"/>
      <c r="C46" s="149"/>
      <c r="D46" s="150"/>
    </row>
    <row r="47" spans="1:4" ht="15.75" customHeight="1" thickBot="1" x14ac:dyDescent="0.25">
      <c r="A47" s="151" t="s">
        <v>362</v>
      </c>
      <c r="B47" s="197" t="s">
        <v>420</v>
      </c>
      <c r="C47" s="198"/>
      <c r="D47" s="150"/>
    </row>
    <row r="48" spans="1:4" ht="15.75" customHeight="1" thickBot="1" x14ac:dyDescent="0.25">
      <c r="A48" s="152" t="s">
        <v>346</v>
      </c>
      <c r="B48" s="141" t="s">
        <v>347</v>
      </c>
      <c r="C48" s="142" t="s">
        <v>348</v>
      </c>
      <c r="D48" s="150"/>
    </row>
    <row r="49" spans="1:4" ht="15.75" customHeight="1" x14ac:dyDescent="0.25">
      <c r="A49" s="153" t="s">
        <v>349</v>
      </c>
      <c r="B49" s="145">
        <v>0</v>
      </c>
      <c r="C49" s="145"/>
      <c r="D49" s="150"/>
    </row>
    <row r="50" spans="1:4" ht="15.75" customHeight="1" x14ac:dyDescent="0.25">
      <c r="A50" s="153" t="s">
        <v>350</v>
      </c>
      <c r="B50" s="145">
        <v>0</v>
      </c>
      <c r="C50" s="145"/>
      <c r="D50" s="150"/>
    </row>
    <row r="51" spans="1:4" ht="15.75" customHeight="1" x14ac:dyDescent="0.25">
      <c r="A51" s="153" t="s">
        <v>363</v>
      </c>
      <c r="B51" s="145">
        <v>0</v>
      </c>
      <c r="C51" s="145"/>
      <c r="D51" s="150"/>
    </row>
    <row r="52" spans="1:4" ht="15.75" customHeight="1" x14ac:dyDescent="0.25">
      <c r="A52" s="153" t="s">
        <v>353</v>
      </c>
      <c r="B52" s="145">
        <v>0</v>
      </c>
      <c r="C52" s="145"/>
      <c r="D52" s="150"/>
    </row>
    <row r="53" spans="1:4" ht="15.75" customHeight="1" thickBot="1" x14ac:dyDescent="0.3">
      <c r="A53" s="154" t="s">
        <v>354</v>
      </c>
      <c r="B53" s="147">
        <f>SUM(B49:B52)</f>
        <v>0</v>
      </c>
      <c r="C53" s="147">
        <f>SUM(C49:C52)</f>
        <v>0</v>
      </c>
      <c r="D53" s="155"/>
    </row>
  </sheetData>
  <mergeCells count="6">
    <mergeCell ref="B47:C47"/>
    <mergeCell ref="C6:D6"/>
    <mergeCell ref="C15:D15"/>
    <mergeCell ref="C23:D23"/>
    <mergeCell ref="C31:D31"/>
    <mergeCell ref="C39:D3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BD6C7-30BC-46D8-BECE-2A2E4F8C1392}">
  <sheetPr>
    <outlinePr summaryBelow="0" summaryRight="0"/>
  </sheetPr>
  <dimension ref="A1:D53"/>
  <sheetViews>
    <sheetView topLeftCell="A22" workbookViewId="0">
      <selection activeCell="C39" sqref="A39:D53"/>
    </sheetView>
  </sheetViews>
  <sheetFormatPr defaultColWidth="12.5703125" defaultRowHeight="15.75" customHeight="1" x14ac:dyDescent="0.2"/>
  <cols>
    <col min="1" max="1" width="74.42578125" bestFit="1" customWidth="1"/>
    <col min="2" max="3" width="17.42578125" customWidth="1"/>
    <col min="4" max="4" width="19.5703125" customWidth="1"/>
  </cols>
  <sheetData>
    <row r="1" spans="1:4" ht="15.75" customHeight="1" x14ac:dyDescent="0.2">
      <c r="A1" s="2" t="s">
        <v>403</v>
      </c>
    </row>
    <row r="2" spans="1:4" ht="15.75" customHeight="1" thickBot="1" x14ac:dyDescent="0.25"/>
    <row r="3" spans="1:4" ht="15.75" customHeight="1" thickBot="1" x14ac:dyDescent="0.25">
      <c r="A3" s="102" t="s">
        <v>1</v>
      </c>
      <c r="B3" s="104" t="str">
        <f>'1_patient_info'!B3</f>
        <v>##</v>
      </c>
      <c r="C3" s="102" t="s">
        <v>5</v>
      </c>
      <c r="D3" s="110" t="s">
        <v>313</v>
      </c>
    </row>
    <row r="4" spans="1:4" ht="15.75" customHeight="1" x14ac:dyDescent="0.2">
      <c r="A4" s="42"/>
      <c r="B4" s="9"/>
    </row>
    <row r="5" spans="1:4" ht="15.75" customHeight="1" thickBot="1" x14ac:dyDescent="0.25"/>
    <row r="6" spans="1:4" ht="15.75" customHeight="1" thickBot="1" x14ac:dyDescent="0.25">
      <c r="A6" s="75" t="s">
        <v>344</v>
      </c>
      <c r="B6" s="76"/>
      <c r="C6" s="199" t="s">
        <v>419</v>
      </c>
      <c r="D6" s="200"/>
    </row>
    <row r="7" spans="1:4" ht="15.75" customHeight="1" thickBot="1" x14ac:dyDescent="0.25">
      <c r="A7" s="77" t="s">
        <v>345</v>
      </c>
      <c r="B7" s="78" t="s">
        <v>346</v>
      </c>
      <c r="C7" s="78" t="s">
        <v>347</v>
      </c>
      <c r="D7" s="79" t="s">
        <v>348</v>
      </c>
    </row>
    <row r="8" spans="1:4" ht="15.75" customHeight="1" x14ac:dyDescent="0.25">
      <c r="A8" s="80">
        <v>1</v>
      </c>
      <c r="B8" s="81" t="s">
        <v>349</v>
      </c>
      <c r="C8" s="82">
        <v>0</v>
      </c>
      <c r="D8" s="83"/>
    </row>
    <row r="9" spans="1:4" ht="15.75" customHeight="1" x14ac:dyDescent="0.25">
      <c r="A9" s="84">
        <v>2</v>
      </c>
      <c r="B9" s="85" t="s">
        <v>350</v>
      </c>
      <c r="C9" s="86">
        <v>0</v>
      </c>
      <c r="D9" s="87"/>
    </row>
    <row r="10" spans="1:4" ht="15.75" customHeight="1" x14ac:dyDescent="0.25">
      <c r="A10" s="80">
        <v>3</v>
      </c>
      <c r="B10" s="81" t="s">
        <v>351</v>
      </c>
      <c r="C10" s="82">
        <v>0</v>
      </c>
      <c r="D10" s="83"/>
    </row>
    <row r="11" spans="1:4" ht="15.75" customHeight="1" x14ac:dyDescent="0.2">
      <c r="A11" s="84">
        <v>4</v>
      </c>
      <c r="B11" s="85" t="s">
        <v>352</v>
      </c>
      <c r="C11" s="88">
        <v>0</v>
      </c>
      <c r="D11" s="89"/>
    </row>
    <row r="12" spans="1:4" ht="15.75" customHeight="1" x14ac:dyDescent="0.25">
      <c r="A12" s="90">
        <v>5</v>
      </c>
      <c r="B12" s="91" t="s">
        <v>353</v>
      </c>
      <c r="C12" s="92">
        <v>0</v>
      </c>
      <c r="D12" s="93"/>
    </row>
    <row r="13" spans="1:4" ht="15.75" customHeight="1" thickBot="1" x14ac:dyDescent="0.3">
      <c r="A13" s="94"/>
      <c r="B13" s="95" t="s">
        <v>354</v>
      </c>
      <c r="C13" s="96">
        <f>SUM(C8:C12)</f>
        <v>0</v>
      </c>
      <c r="D13" s="96">
        <f>SUM(D8:D12)</f>
        <v>0</v>
      </c>
    </row>
    <row r="14" spans="1:4" ht="15.75" customHeight="1" thickBot="1" x14ac:dyDescent="0.25"/>
    <row r="15" spans="1:4" ht="15.75" customHeight="1" thickBot="1" x14ac:dyDescent="0.25">
      <c r="A15" s="75" t="s">
        <v>355</v>
      </c>
      <c r="B15" s="76"/>
      <c r="C15" s="199" t="s">
        <v>419</v>
      </c>
      <c r="D15" s="200"/>
    </row>
    <row r="16" spans="1:4" ht="15.75" customHeight="1" thickBot="1" x14ac:dyDescent="0.25">
      <c r="A16" s="77" t="s">
        <v>345</v>
      </c>
      <c r="B16" s="78" t="s">
        <v>346</v>
      </c>
      <c r="C16" s="78" t="s">
        <v>347</v>
      </c>
      <c r="D16" s="79" t="s">
        <v>348</v>
      </c>
    </row>
    <row r="17" spans="1:4" ht="15.75" customHeight="1" x14ac:dyDescent="0.25">
      <c r="A17" s="80">
        <v>1</v>
      </c>
      <c r="B17" s="81" t="s">
        <v>349</v>
      </c>
      <c r="C17" s="82">
        <v>0</v>
      </c>
      <c r="D17" s="83"/>
    </row>
    <row r="18" spans="1:4" ht="15.75" customHeight="1" x14ac:dyDescent="0.25">
      <c r="A18" s="84">
        <v>2</v>
      </c>
      <c r="B18" s="85" t="s">
        <v>350</v>
      </c>
      <c r="C18" s="86">
        <v>0</v>
      </c>
      <c r="D18" s="87"/>
    </row>
    <row r="19" spans="1:4" ht="15.75" customHeight="1" x14ac:dyDescent="0.25">
      <c r="A19" s="80">
        <v>3</v>
      </c>
      <c r="B19" s="81" t="s">
        <v>356</v>
      </c>
      <c r="C19" s="82">
        <v>0</v>
      </c>
      <c r="D19" s="83"/>
    </row>
    <row r="20" spans="1:4" ht="15.75" customHeight="1" x14ac:dyDescent="0.25">
      <c r="A20" s="84">
        <v>4</v>
      </c>
      <c r="B20" s="85" t="s">
        <v>353</v>
      </c>
      <c r="C20" s="86">
        <v>0</v>
      </c>
      <c r="D20" s="87"/>
    </row>
    <row r="21" spans="1:4" ht="15.75" customHeight="1" thickBot="1" x14ac:dyDescent="0.3">
      <c r="A21" s="97"/>
      <c r="B21" s="98" t="s">
        <v>354</v>
      </c>
      <c r="C21" s="99">
        <f>SUM(C17:C20)</f>
        <v>0</v>
      </c>
      <c r="D21" s="99">
        <f>SUM(D17:D20)</f>
        <v>0</v>
      </c>
    </row>
    <row r="22" spans="1:4" ht="15.75" customHeight="1" thickBot="1" x14ac:dyDescent="0.25"/>
    <row r="23" spans="1:4" ht="15.75" customHeight="1" thickBot="1" x14ac:dyDescent="0.25">
      <c r="A23" s="75" t="s">
        <v>357</v>
      </c>
      <c r="B23" s="76"/>
      <c r="C23" s="199" t="s">
        <v>419</v>
      </c>
      <c r="D23" s="200"/>
    </row>
    <row r="24" spans="1:4" ht="15.75" customHeight="1" thickBot="1" x14ac:dyDescent="0.25">
      <c r="A24" s="77" t="s">
        <v>345</v>
      </c>
      <c r="B24" s="78" t="s">
        <v>346</v>
      </c>
      <c r="C24" s="78" t="s">
        <v>347</v>
      </c>
      <c r="D24" s="79" t="s">
        <v>348</v>
      </c>
    </row>
    <row r="25" spans="1:4" ht="15.75" customHeight="1" x14ac:dyDescent="0.25">
      <c r="A25" s="80">
        <v>1</v>
      </c>
      <c r="B25" s="81" t="s">
        <v>349</v>
      </c>
      <c r="C25" s="82">
        <v>0</v>
      </c>
      <c r="D25" s="83"/>
    </row>
    <row r="26" spans="1:4" ht="15.75" customHeight="1" x14ac:dyDescent="0.25">
      <c r="A26" s="84">
        <v>2</v>
      </c>
      <c r="B26" s="85" t="s">
        <v>350</v>
      </c>
      <c r="C26" s="86">
        <v>0</v>
      </c>
      <c r="D26" s="87"/>
    </row>
    <row r="27" spans="1:4" ht="15.75" customHeight="1" x14ac:dyDescent="0.25">
      <c r="A27" s="80">
        <v>3</v>
      </c>
      <c r="B27" s="81" t="s">
        <v>358</v>
      </c>
      <c r="C27" s="82">
        <v>0</v>
      </c>
      <c r="D27" s="83"/>
    </row>
    <row r="28" spans="1:4" ht="15.75" customHeight="1" x14ac:dyDescent="0.25">
      <c r="A28" s="84">
        <v>4</v>
      </c>
      <c r="B28" s="85" t="s">
        <v>353</v>
      </c>
      <c r="C28" s="86">
        <v>0</v>
      </c>
      <c r="D28" s="87"/>
    </row>
    <row r="29" spans="1:4" ht="15.75" customHeight="1" thickBot="1" x14ac:dyDescent="0.3">
      <c r="A29" s="97"/>
      <c r="B29" s="98" t="s">
        <v>354</v>
      </c>
      <c r="C29" s="99">
        <f>SUM(C25:C28)</f>
        <v>0</v>
      </c>
      <c r="D29" s="99">
        <f>SUM(D25:D28)</f>
        <v>0</v>
      </c>
    </row>
    <row r="30" spans="1:4" ht="15.75" customHeight="1" thickBot="1" x14ac:dyDescent="0.25"/>
    <row r="31" spans="1:4" ht="15.75" customHeight="1" thickBot="1" x14ac:dyDescent="0.25">
      <c r="A31" s="75" t="s">
        <v>359</v>
      </c>
      <c r="B31" s="76"/>
      <c r="C31" s="199" t="s">
        <v>419</v>
      </c>
      <c r="D31" s="200"/>
    </row>
    <row r="32" spans="1:4" ht="15.75" customHeight="1" thickBot="1" x14ac:dyDescent="0.25">
      <c r="A32" s="77" t="s">
        <v>345</v>
      </c>
      <c r="B32" s="78" t="s">
        <v>346</v>
      </c>
      <c r="C32" s="78" t="s">
        <v>347</v>
      </c>
      <c r="D32" s="79" t="s">
        <v>348</v>
      </c>
    </row>
    <row r="33" spans="1:4" ht="15.75" customHeight="1" x14ac:dyDescent="0.25">
      <c r="A33" s="80">
        <v>1</v>
      </c>
      <c r="B33" s="81" t="s">
        <v>349</v>
      </c>
      <c r="C33" s="82">
        <v>0</v>
      </c>
      <c r="D33" s="82"/>
    </row>
    <row r="34" spans="1:4" ht="15.75" customHeight="1" x14ac:dyDescent="0.25">
      <c r="A34" s="84">
        <v>2</v>
      </c>
      <c r="B34" s="85" t="s">
        <v>350</v>
      </c>
      <c r="C34" s="86">
        <v>0</v>
      </c>
      <c r="D34" s="86"/>
    </row>
    <row r="35" spans="1:4" ht="15.75" customHeight="1" x14ac:dyDescent="0.25">
      <c r="A35" s="80">
        <v>3</v>
      </c>
      <c r="B35" s="81" t="s">
        <v>360</v>
      </c>
      <c r="C35" s="82">
        <v>0</v>
      </c>
      <c r="D35" s="82"/>
    </row>
    <row r="36" spans="1:4" ht="15.75" customHeight="1" x14ac:dyDescent="0.25">
      <c r="A36" s="84">
        <v>4</v>
      </c>
      <c r="B36" s="85" t="s">
        <v>353</v>
      </c>
      <c r="C36" s="86">
        <v>0</v>
      </c>
      <c r="D36" s="86"/>
    </row>
    <row r="37" spans="1:4" ht="15.75" customHeight="1" thickBot="1" x14ac:dyDescent="0.3">
      <c r="A37" s="97"/>
      <c r="B37" s="98" t="s">
        <v>354</v>
      </c>
      <c r="C37" s="99">
        <f>SUM(C33:C36)</f>
        <v>0</v>
      </c>
      <c r="D37" s="99">
        <f>SUM(D33:D36)</f>
        <v>0</v>
      </c>
    </row>
    <row r="38" spans="1:4" ht="15.75" customHeight="1" thickBot="1" x14ac:dyDescent="0.25"/>
    <row r="39" spans="1:4" ht="15.75" customHeight="1" thickBot="1" x14ac:dyDescent="0.25">
      <c r="A39" s="138" t="s">
        <v>361</v>
      </c>
      <c r="B39" s="139"/>
      <c r="C39" s="197" t="s">
        <v>419</v>
      </c>
      <c r="D39" s="198"/>
    </row>
    <row r="40" spans="1:4" ht="15.75" customHeight="1" thickBot="1" x14ac:dyDescent="0.25">
      <c r="A40" s="140" t="s">
        <v>345</v>
      </c>
      <c r="B40" s="141" t="s">
        <v>346</v>
      </c>
      <c r="C40" s="141" t="s">
        <v>347</v>
      </c>
      <c r="D40" s="142" t="s">
        <v>348</v>
      </c>
    </row>
    <row r="41" spans="1:4" ht="15.75" customHeight="1" x14ac:dyDescent="0.25">
      <c r="A41" s="143">
        <v>1</v>
      </c>
      <c r="B41" s="144" t="s">
        <v>349</v>
      </c>
      <c r="C41" s="145">
        <v>0</v>
      </c>
      <c r="D41" s="145"/>
    </row>
    <row r="42" spans="1:4" ht="15.75" customHeight="1" x14ac:dyDescent="0.25">
      <c r="A42" s="143">
        <v>2</v>
      </c>
      <c r="B42" s="144" t="s">
        <v>350</v>
      </c>
      <c r="C42" s="145">
        <v>0</v>
      </c>
      <c r="D42" s="145"/>
    </row>
    <row r="43" spans="1:4" ht="15.75" customHeight="1" x14ac:dyDescent="0.25">
      <c r="A43" s="143">
        <v>3</v>
      </c>
      <c r="B43" s="144" t="s">
        <v>360</v>
      </c>
      <c r="C43" s="145">
        <v>0</v>
      </c>
      <c r="D43" s="145"/>
    </row>
    <row r="44" spans="1:4" ht="15.75" customHeight="1" x14ac:dyDescent="0.25">
      <c r="A44" s="143">
        <v>4</v>
      </c>
      <c r="B44" s="144" t="s">
        <v>353</v>
      </c>
      <c r="C44" s="145">
        <v>0</v>
      </c>
      <c r="D44" s="145"/>
    </row>
    <row r="45" spans="1:4" ht="15.75" customHeight="1" thickBot="1" x14ac:dyDescent="0.3">
      <c r="A45" s="140"/>
      <c r="B45" s="146" t="s">
        <v>354</v>
      </c>
      <c r="C45" s="147">
        <f>SUM(C41:C44)</f>
        <v>0</v>
      </c>
      <c r="D45" s="147">
        <f>SUM(D41:D44)</f>
        <v>0</v>
      </c>
    </row>
    <row r="46" spans="1:4" ht="15.75" customHeight="1" thickBot="1" x14ac:dyDescent="0.25">
      <c r="A46" s="148"/>
      <c r="B46" s="149"/>
      <c r="C46" s="149"/>
      <c r="D46" s="150"/>
    </row>
    <row r="47" spans="1:4" ht="15.75" customHeight="1" thickBot="1" x14ac:dyDescent="0.25">
      <c r="A47" s="151" t="s">
        <v>362</v>
      </c>
      <c r="B47" s="197" t="s">
        <v>419</v>
      </c>
      <c r="C47" s="198"/>
      <c r="D47" s="150"/>
    </row>
    <row r="48" spans="1:4" ht="15.75" customHeight="1" thickBot="1" x14ac:dyDescent="0.25">
      <c r="A48" s="152" t="s">
        <v>346</v>
      </c>
      <c r="B48" s="141" t="s">
        <v>347</v>
      </c>
      <c r="C48" s="142" t="s">
        <v>348</v>
      </c>
      <c r="D48" s="150"/>
    </row>
    <row r="49" spans="1:4" ht="15.75" customHeight="1" x14ac:dyDescent="0.25">
      <c r="A49" s="153" t="s">
        <v>349</v>
      </c>
      <c r="B49" s="145">
        <v>0</v>
      </c>
      <c r="C49" s="145"/>
      <c r="D49" s="150"/>
    </row>
    <row r="50" spans="1:4" ht="15.75" customHeight="1" x14ac:dyDescent="0.25">
      <c r="A50" s="153" t="s">
        <v>350</v>
      </c>
      <c r="B50" s="145">
        <v>0</v>
      </c>
      <c r="C50" s="145"/>
      <c r="D50" s="150"/>
    </row>
    <row r="51" spans="1:4" ht="15.75" customHeight="1" x14ac:dyDescent="0.25">
      <c r="A51" s="153" t="s">
        <v>363</v>
      </c>
      <c r="B51" s="145">
        <v>0</v>
      </c>
      <c r="C51" s="145"/>
      <c r="D51" s="150"/>
    </row>
    <row r="52" spans="1:4" ht="15.75" customHeight="1" x14ac:dyDescent="0.25">
      <c r="A52" s="153" t="s">
        <v>353</v>
      </c>
      <c r="B52" s="145">
        <v>0</v>
      </c>
      <c r="C52" s="145"/>
      <c r="D52" s="150"/>
    </row>
    <row r="53" spans="1:4" ht="15.75" customHeight="1" thickBot="1" x14ac:dyDescent="0.3">
      <c r="A53" s="154" t="s">
        <v>354</v>
      </c>
      <c r="B53" s="147">
        <f>SUM(B49:B52)</f>
        <v>0</v>
      </c>
      <c r="C53" s="147">
        <f>SUM(C49:C52)</f>
        <v>0</v>
      </c>
      <c r="D53" s="155"/>
    </row>
  </sheetData>
  <mergeCells count="6">
    <mergeCell ref="B47:C47"/>
    <mergeCell ref="C6:D6"/>
    <mergeCell ref="C15:D15"/>
    <mergeCell ref="C23:D23"/>
    <mergeCell ref="C31:D31"/>
    <mergeCell ref="C39:D3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29"/>
  <sheetViews>
    <sheetView zoomScaleNormal="124" workbookViewId="0">
      <selection activeCell="H28" sqref="H28"/>
    </sheetView>
  </sheetViews>
  <sheetFormatPr defaultColWidth="12.5703125" defaultRowHeight="15.75" customHeight="1" x14ac:dyDescent="0.2"/>
  <cols>
    <col min="1" max="1" width="17.85546875" customWidth="1"/>
    <col min="2" max="3" width="37.5703125" customWidth="1"/>
    <col min="4" max="4" width="14.5703125" customWidth="1"/>
    <col min="5" max="5" width="12.42578125" bestFit="1" customWidth="1"/>
  </cols>
  <sheetData>
    <row r="1" spans="1:10" ht="15.75" customHeight="1" x14ac:dyDescent="0.2">
      <c r="A1" s="168" t="s">
        <v>405</v>
      </c>
      <c r="B1" s="168"/>
      <c r="C1" s="168"/>
    </row>
    <row r="2" spans="1:10" ht="15.75" customHeight="1" thickBot="1" x14ac:dyDescent="0.25">
      <c r="A2" s="42" t="s">
        <v>78</v>
      </c>
      <c r="B2" s="43" t="s">
        <v>79</v>
      </c>
      <c r="C2" s="42" t="s">
        <v>406</v>
      </c>
      <c r="D2" s="43" t="s">
        <v>77</v>
      </c>
    </row>
    <row r="3" spans="1:10" ht="15.75" customHeight="1" thickBot="1" x14ac:dyDescent="0.25">
      <c r="A3" s="102" t="s">
        <v>1</v>
      </c>
      <c r="B3" s="104" t="str">
        <f>'1_patient_info'!B3</f>
        <v>##</v>
      </c>
      <c r="C3" s="102" t="s">
        <v>5</v>
      </c>
      <c r="D3" s="104" t="s">
        <v>313</v>
      </c>
      <c r="E3" s="10" t="s">
        <v>14</v>
      </c>
      <c r="F3" s="11" t="str">
        <f>'1_patient_info'!B6</f>
        <v>Right</v>
      </c>
    </row>
    <row r="4" spans="1:10" ht="15.75" customHeight="1" thickBot="1" x14ac:dyDescent="0.25"/>
    <row r="5" spans="1:10" ht="15.75" customHeight="1" x14ac:dyDescent="0.2">
      <c r="A5" s="40" t="s">
        <v>15</v>
      </c>
      <c r="B5" s="33"/>
    </row>
    <row r="6" spans="1:10" ht="15.75" customHeight="1" x14ac:dyDescent="0.2">
      <c r="A6" s="34">
        <v>1</v>
      </c>
      <c r="B6" s="35" t="s">
        <v>16</v>
      </c>
    </row>
    <row r="7" spans="1:10" ht="15.75" customHeight="1" x14ac:dyDescent="0.2">
      <c r="A7" s="36">
        <v>2</v>
      </c>
      <c r="B7" s="37" t="s">
        <v>17</v>
      </c>
    </row>
    <row r="8" spans="1:10" ht="15.75" customHeight="1" x14ac:dyDescent="0.2">
      <c r="A8" s="36">
        <v>3</v>
      </c>
      <c r="B8" s="37" t="s">
        <v>18</v>
      </c>
    </row>
    <row r="9" spans="1:10" ht="15.75" customHeight="1" x14ac:dyDescent="0.2">
      <c r="A9" s="36">
        <v>4</v>
      </c>
      <c r="B9" s="37" t="s">
        <v>19</v>
      </c>
    </row>
    <row r="10" spans="1:10" ht="15.75" customHeight="1" x14ac:dyDescent="0.2">
      <c r="A10" s="36">
        <v>5</v>
      </c>
      <c r="B10" s="37" t="s">
        <v>20</v>
      </c>
    </row>
    <row r="11" spans="1:10" ht="15.75" customHeight="1" x14ac:dyDescent="0.2">
      <c r="A11" s="36">
        <v>6</v>
      </c>
      <c r="B11" s="37" t="s">
        <v>21</v>
      </c>
    </row>
    <row r="12" spans="1:10" ht="15.75" customHeight="1" thickBot="1" x14ac:dyDescent="0.25">
      <c r="A12" s="38">
        <v>7</v>
      </c>
      <c r="B12" s="39" t="s">
        <v>22</v>
      </c>
    </row>
    <row r="13" spans="1:10" ht="15.75" customHeight="1" x14ac:dyDescent="0.2">
      <c r="A13" s="9" t="s">
        <v>343</v>
      </c>
    </row>
    <row r="14" spans="1:10" ht="15.75" customHeight="1" x14ac:dyDescent="0.2">
      <c r="A14" s="1" t="s">
        <v>23</v>
      </c>
      <c r="B14" s="1" t="s">
        <v>24</v>
      </c>
      <c r="C14" s="1" t="s">
        <v>25</v>
      </c>
      <c r="D14" s="1" t="s">
        <v>26</v>
      </c>
      <c r="E14" s="1" t="s">
        <v>27</v>
      </c>
    </row>
    <row r="15" spans="1:10" ht="15.75" customHeight="1" thickBot="1" x14ac:dyDescent="0.25">
      <c r="A15" s="1">
        <v>1</v>
      </c>
      <c r="B15" s="1" t="s">
        <v>28</v>
      </c>
      <c r="C15" s="32" t="s">
        <v>332</v>
      </c>
      <c r="D15">
        <v>1</v>
      </c>
      <c r="G15" s="74" t="s">
        <v>333</v>
      </c>
    </row>
    <row r="16" spans="1:10" ht="15.75" customHeight="1" x14ac:dyDescent="0.2">
      <c r="A16" s="1">
        <v>2</v>
      </c>
      <c r="B16" s="1" t="s">
        <v>29</v>
      </c>
      <c r="C16" s="32" t="s">
        <v>334</v>
      </c>
      <c r="D16">
        <v>1</v>
      </c>
      <c r="G16" s="188"/>
      <c r="H16" s="170"/>
      <c r="I16" s="170"/>
      <c r="J16" s="171"/>
    </row>
    <row r="17" spans="1:10" ht="15.75" customHeight="1" x14ac:dyDescent="0.2">
      <c r="A17" s="1">
        <v>3</v>
      </c>
      <c r="B17" s="1" t="s">
        <v>30</v>
      </c>
      <c r="C17" s="32" t="s">
        <v>335</v>
      </c>
      <c r="D17">
        <v>1</v>
      </c>
      <c r="G17" s="172"/>
      <c r="H17" s="167"/>
      <c r="I17" s="167"/>
      <c r="J17" s="173"/>
    </row>
    <row r="18" spans="1:10" ht="15.75" customHeight="1" x14ac:dyDescent="0.2">
      <c r="A18" s="1">
        <v>4</v>
      </c>
      <c r="B18" s="1" t="s">
        <v>31</v>
      </c>
      <c r="C18" s="32" t="s">
        <v>336</v>
      </c>
      <c r="D18">
        <v>1</v>
      </c>
      <c r="G18" s="172"/>
      <c r="H18" s="167"/>
      <c r="I18" s="167"/>
      <c r="J18" s="173"/>
    </row>
    <row r="19" spans="1:10" ht="15.75" customHeight="1" thickBot="1" x14ac:dyDescent="0.25">
      <c r="A19" s="1">
        <v>5</v>
      </c>
      <c r="B19" s="1" t="s">
        <v>32</v>
      </c>
      <c r="C19" s="32" t="s">
        <v>33</v>
      </c>
      <c r="D19">
        <v>1</v>
      </c>
      <c r="G19" s="174"/>
      <c r="H19" s="175"/>
      <c r="I19" s="175"/>
      <c r="J19" s="176"/>
    </row>
    <row r="20" spans="1:10" ht="15.75" customHeight="1" x14ac:dyDescent="0.2">
      <c r="A20" s="1">
        <v>6</v>
      </c>
      <c r="B20" s="1" t="s">
        <v>34</v>
      </c>
      <c r="C20" s="32" t="s">
        <v>33</v>
      </c>
      <c r="D20">
        <v>1</v>
      </c>
    </row>
    <row r="21" spans="1:10" ht="15.75" customHeight="1" x14ac:dyDescent="0.2">
      <c r="A21" s="1">
        <v>7</v>
      </c>
      <c r="B21" s="1" t="s">
        <v>35</v>
      </c>
      <c r="C21" s="32" t="s">
        <v>337</v>
      </c>
      <c r="D21">
        <v>1</v>
      </c>
    </row>
    <row r="22" spans="1:10" ht="15.75" customHeight="1" x14ac:dyDescent="0.2">
      <c r="A22" s="1">
        <v>8</v>
      </c>
      <c r="B22" s="1" t="s">
        <v>36</v>
      </c>
      <c r="C22" s="32" t="s">
        <v>338</v>
      </c>
      <c r="D22">
        <v>1</v>
      </c>
    </row>
    <row r="23" spans="1:10" ht="15.75" customHeight="1" x14ac:dyDescent="0.2">
      <c r="A23" s="1">
        <v>9</v>
      </c>
      <c r="B23" s="1" t="s">
        <v>37</v>
      </c>
      <c r="C23" s="32" t="s">
        <v>339</v>
      </c>
      <c r="D23">
        <v>1</v>
      </c>
    </row>
    <row r="24" spans="1:10" ht="15.75" customHeight="1" x14ac:dyDescent="0.2">
      <c r="A24" s="1">
        <v>10</v>
      </c>
      <c r="B24" s="1" t="s">
        <v>38</v>
      </c>
      <c r="C24" s="32" t="s">
        <v>340</v>
      </c>
      <c r="D24">
        <v>1</v>
      </c>
    </row>
    <row r="25" spans="1:10" ht="15.75" customHeight="1" x14ac:dyDescent="0.2">
      <c r="A25" s="1">
        <v>11</v>
      </c>
      <c r="B25" s="1" t="s">
        <v>39</v>
      </c>
      <c r="C25" s="32" t="s">
        <v>341</v>
      </c>
      <c r="D25">
        <v>1</v>
      </c>
    </row>
    <row r="26" spans="1:10" ht="15.75" customHeight="1" x14ac:dyDescent="0.2">
      <c r="A26" s="1">
        <v>12</v>
      </c>
      <c r="B26" s="1" t="s">
        <v>40</v>
      </c>
      <c r="C26" s="32" t="s">
        <v>41</v>
      </c>
      <c r="D26">
        <v>1</v>
      </c>
    </row>
    <row r="27" spans="1:10" ht="15.75" customHeight="1" x14ac:dyDescent="0.2">
      <c r="A27" s="1">
        <v>13</v>
      </c>
      <c r="B27" s="1" t="s">
        <v>42</v>
      </c>
      <c r="C27" s="32" t="s">
        <v>41</v>
      </c>
      <c r="D27">
        <v>1</v>
      </c>
    </row>
    <row r="28" spans="1:10" ht="15.75" customHeight="1" thickBot="1" x14ac:dyDescent="0.25"/>
    <row r="29" spans="1:10" ht="15.75" customHeight="1" thickBot="1" x14ac:dyDescent="0.25">
      <c r="C29" s="41" t="s">
        <v>43</v>
      </c>
      <c r="D29" s="11">
        <f>SUM(D15:D27)</f>
        <v>13</v>
      </c>
      <c r="E29" s="42" t="s">
        <v>342</v>
      </c>
    </row>
  </sheetData>
  <mergeCells count="2">
    <mergeCell ref="G16:J19"/>
    <mergeCell ref="A1:C1"/>
  </mergeCells>
  <dataValidations count="11">
    <dataValidation type="list" allowBlank="1" showInputMessage="1" showErrorMessage="1" sqref="D15:D27" xr:uid="{43E933B0-5FAC-450A-B9A7-AFFCBC874F4D}">
      <formula1>"1,2,3,4,5,6,7"</formula1>
    </dataValidation>
    <dataValidation type="list" allowBlank="1" showInputMessage="1" showErrorMessage="1" sqref="F3" xr:uid="{F2E1B1BA-DC4A-4875-8A30-FFFCCAA37CF0}">
      <formula1>"Left, Right"</formula1>
    </dataValidation>
    <dataValidation type="list" allowBlank="1" showInputMessage="1" showErrorMessage="1" sqref="C25" xr:uid="{07732603-4BC8-4D45-9AD0-4B621C54B5DB}">
      <formula1>"holds glasses, wipes lenses"</formula1>
    </dataValidation>
    <dataValidation type="list" allowBlank="1" showInputMessage="1" showErrorMessage="1" sqref="C24" xr:uid="{B5C44271-5692-404D-B0AA-976F428D6F9B}">
      <formula1>"holds zipper, holds zipper pull"</formula1>
    </dataValidation>
    <dataValidation type="list" allowBlank="1" showInputMessage="1" showErrorMessage="1" sqref="C23" xr:uid="{038B5705-07A5-40FD-B97F-31EEF41A28D5}">
      <formula1>"holds knife, holds fork"</formula1>
    </dataValidation>
    <dataValidation type="list" allowBlank="1" showInputMessage="1" showErrorMessage="1" sqref="C22" xr:uid="{D48F880E-EECC-449E-9F4E-D266847C66DE}">
      <formula1>"holds toothpaste, holds brush"</formula1>
    </dataValidation>
    <dataValidation type="list" allowBlank="1" showInputMessage="1" showErrorMessage="1" sqref="C21" xr:uid="{8A69BC17-4319-4A5E-8F30-E6887F990F57}">
      <formula1>"reaches for towel, grasps towel end"</formula1>
    </dataValidation>
    <dataValidation type="list" allowBlank="1" showInputMessage="1" showErrorMessage="1" sqref="C18" xr:uid="{5A341902-E014-476C-9733-E58F39E7610D}">
      <formula1>"holds glass, holds pitcher"</formula1>
    </dataValidation>
    <dataValidation type="list" allowBlank="1" showInputMessage="1" showErrorMessage="1" sqref="C17" xr:uid="{F9A6D0DB-F163-404A-91DA-D1BE76C1A053}">
      <formula1>"holds ruler, holds pen"</formula1>
    </dataValidation>
    <dataValidation type="list" allowBlank="1" showInputMessage="1" showErrorMessage="1" sqref="C16" xr:uid="{B771AA04-8F37-4892-BE28-FC40C36580A7}">
      <formula1>"holds receiver, dials phone, holds receiver and dials phone"</formula1>
    </dataValidation>
    <dataValidation type="list" allowBlank="1" showInputMessage="1" showErrorMessage="1" sqref="C15" xr:uid="{A6E46A54-2777-4D98-AFA9-C071C8C840E0}">
      <formula1>"holds jar, holds lid"</formula1>
    </dataValidation>
  </dataValidations>
  <hyperlinks>
    <hyperlink ref="D2" r:id="rId1" xr:uid="{903C17AB-3929-4823-BEF0-F3C79B8BE2F2}"/>
    <hyperlink ref="B2" r:id="rId2" xr:uid="{3B19C77C-D9F0-4BF3-A371-85575CFDDCCE}"/>
  </hyperlinks>
  <pageMargins left="0.7" right="0.7" top="0.75" bottom="0.75" header="0.3" footer="0.3"/>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4B5B4-5438-4A5B-AB2D-F8CC37BE0C46}">
  <sheetPr>
    <outlinePr summaryBelow="0" summaryRight="0"/>
  </sheetPr>
  <dimension ref="A1:J29"/>
  <sheetViews>
    <sheetView zoomScaleNormal="124" workbookViewId="0">
      <selection activeCell="F4" sqref="F4"/>
    </sheetView>
  </sheetViews>
  <sheetFormatPr defaultColWidth="12.5703125" defaultRowHeight="15.75" customHeight="1" x14ac:dyDescent="0.2"/>
  <cols>
    <col min="1" max="1" width="17.85546875" customWidth="1"/>
    <col min="2" max="3" width="37.5703125" customWidth="1"/>
    <col min="4" max="4" width="14.5703125" customWidth="1"/>
    <col min="5" max="5" width="12.42578125" bestFit="1" customWidth="1"/>
  </cols>
  <sheetData>
    <row r="1" spans="1:10" ht="15.75" customHeight="1" x14ac:dyDescent="0.2">
      <c r="A1" s="168" t="s">
        <v>407</v>
      </c>
      <c r="B1" s="168"/>
      <c r="C1" s="168"/>
    </row>
    <row r="2" spans="1:10" ht="15.75" customHeight="1" thickBot="1" x14ac:dyDescent="0.25">
      <c r="A2" s="42" t="s">
        <v>78</v>
      </c>
      <c r="B2" s="43" t="s">
        <v>79</v>
      </c>
      <c r="C2" s="42" t="s">
        <v>406</v>
      </c>
      <c r="D2" s="43" t="s">
        <v>77</v>
      </c>
    </row>
    <row r="3" spans="1:10" ht="15.75" customHeight="1" thickBot="1" x14ac:dyDescent="0.25">
      <c r="A3" s="102" t="s">
        <v>1</v>
      </c>
      <c r="B3" s="104" t="str">
        <f>'1_patient_info'!B3</f>
        <v>##</v>
      </c>
      <c r="C3" s="102" t="s">
        <v>5</v>
      </c>
      <c r="D3" s="104" t="s">
        <v>313</v>
      </c>
      <c r="E3" s="10" t="s">
        <v>14</v>
      </c>
      <c r="F3" s="11" t="str">
        <f>'1_patient_info'!B6</f>
        <v>Right</v>
      </c>
    </row>
    <row r="4" spans="1:10" ht="15.75" customHeight="1" thickBot="1" x14ac:dyDescent="0.25"/>
    <row r="5" spans="1:10" ht="15.75" customHeight="1" x14ac:dyDescent="0.2">
      <c r="A5" s="40" t="s">
        <v>15</v>
      </c>
      <c r="B5" s="33"/>
    </row>
    <row r="6" spans="1:10" ht="15.75" customHeight="1" x14ac:dyDescent="0.2">
      <c r="A6" s="34">
        <v>1</v>
      </c>
      <c r="B6" s="35" t="s">
        <v>16</v>
      </c>
    </row>
    <row r="7" spans="1:10" ht="15.75" customHeight="1" x14ac:dyDescent="0.2">
      <c r="A7" s="36">
        <v>2</v>
      </c>
      <c r="B7" s="37" t="s">
        <v>17</v>
      </c>
    </row>
    <row r="8" spans="1:10" ht="15.75" customHeight="1" x14ac:dyDescent="0.2">
      <c r="A8" s="36">
        <v>3</v>
      </c>
      <c r="B8" s="37" t="s">
        <v>18</v>
      </c>
    </row>
    <row r="9" spans="1:10" ht="15.75" customHeight="1" x14ac:dyDescent="0.2">
      <c r="A9" s="36">
        <v>4</v>
      </c>
      <c r="B9" s="37" t="s">
        <v>19</v>
      </c>
    </row>
    <row r="10" spans="1:10" ht="15.75" customHeight="1" x14ac:dyDescent="0.2">
      <c r="A10" s="36">
        <v>5</v>
      </c>
      <c r="B10" s="37" t="s">
        <v>20</v>
      </c>
    </row>
    <row r="11" spans="1:10" ht="15.75" customHeight="1" x14ac:dyDescent="0.2">
      <c r="A11" s="36">
        <v>6</v>
      </c>
      <c r="B11" s="37" t="s">
        <v>21</v>
      </c>
    </row>
    <row r="12" spans="1:10" ht="15.75" customHeight="1" thickBot="1" x14ac:dyDescent="0.25">
      <c r="A12" s="38">
        <v>7</v>
      </c>
      <c r="B12" s="39" t="s">
        <v>22</v>
      </c>
    </row>
    <row r="13" spans="1:10" ht="15.75" customHeight="1" x14ac:dyDescent="0.2">
      <c r="A13" s="9" t="s">
        <v>343</v>
      </c>
    </row>
    <row r="14" spans="1:10" ht="15.75" customHeight="1" x14ac:dyDescent="0.2">
      <c r="A14" s="1" t="s">
        <v>23</v>
      </c>
      <c r="B14" s="1" t="s">
        <v>24</v>
      </c>
      <c r="C14" s="1" t="s">
        <v>25</v>
      </c>
      <c r="D14" s="1" t="s">
        <v>26</v>
      </c>
      <c r="E14" s="1" t="s">
        <v>27</v>
      </c>
    </row>
    <row r="15" spans="1:10" ht="15.75" customHeight="1" thickBot="1" x14ac:dyDescent="0.25">
      <c r="A15" s="1">
        <v>1</v>
      </c>
      <c r="B15" s="1" t="s">
        <v>28</v>
      </c>
      <c r="C15" s="32" t="s">
        <v>332</v>
      </c>
      <c r="D15">
        <v>1</v>
      </c>
      <c r="G15" s="74" t="s">
        <v>333</v>
      </c>
    </row>
    <row r="16" spans="1:10" ht="15.75" customHeight="1" x14ac:dyDescent="0.2">
      <c r="A16" s="1">
        <v>2</v>
      </c>
      <c r="B16" s="1" t="s">
        <v>29</v>
      </c>
      <c r="C16" s="32" t="s">
        <v>334</v>
      </c>
      <c r="D16">
        <v>1</v>
      </c>
      <c r="G16" s="188"/>
      <c r="H16" s="170"/>
      <c r="I16" s="170"/>
      <c r="J16" s="171"/>
    </row>
    <row r="17" spans="1:10" ht="15.75" customHeight="1" x14ac:dyDescent="0.2">
      <c r="A17" s="1">
        <v>3</v>
      </c>
      <c r="B17" s="1" t="s">
        <v>30</v>
      </c>
      <c r="C17" s="32" t="s">
        <v>335</v>
      </c>
      <c r="D17">
        <v>1</v>
      </c>
      <c r="G17" s="172"/>
      <c r="H17" s="167"/>
      <c r="I17" s="167"/>
      <c r="J17" s="173"/>
    </row>
    <row r="18" spans="1:10" ht="15.75" customHeight="1" x14ac:dyDescent="0.2">
      <c r="A18" s="1">
        <v>4</v>
      </c>
      <c r="B18" s="1" t="s">
        <v>31</v>
      </c>
      <c r="C18" s="32" t="s">
        <v>336</v>
      </c>
      <c r="D18">
        <v>1</v>
      </c>
      <c r="G18" s="172"/>
      <c r="H18" s="167"/>
      <c r="I18" s="167"/>
      <c r="J18" s="173"/>
    </row>
    <row r="19" spans="1:10" ht="15.75" customHeight="1" thickBot="1" x14ac:dyDescent="0.25">
      <c r="A19" s="1">
        <v>5</v>
      </c>
      <c r="B19" s="1" t="s">
        <v>32</v>
      </c>
      <c r="C19" s="32" t="s">
        <v>33</v>
      </c>
      <c r="D19">
        <v>1</v>
      </c>
      <c r="G19" s="174"/>
      <c r="H19" s="175"/>
      <c r="I19" s="175"/>
      <c r="J19" s="176"/>
    </row>
    <row r="20" spans="1:10" ht="15.75" customHeight="1" x14ac:dyDescent="0.2">
      <c r="A20" s="1">
        <v>6</v>
      </c>
      <c r="B20" s="1" t="s">
        <v>34</v>
      </c>
      <c r="C20" s="32" t="s">
        <v>33</v>
      </c>
      <c r="D20">
        <v>1</v>
      </c>
    </row>
    <row r="21" spans="1:10" ht="15.75" customHeight="1" x14ac:dyDescent="0.2">
      <c r="A21" s="1">
        <v>7</v>
      </c>
      <c r="B21" s="1" t="s">
        <v>35</v>
      </c>
      <c r="C21" s="32" t="s">
        <v>337</v>
      </c>
      <c r="D21">
        <v>1</v>
      </c>
    </row>
    <row r="22" spans="1:10" ht="15.75" customHeight="1" x14ac:dyDescent="0.2">
      <c r="A22" s="1">
        <v>8</v>
      </c>
      <c r="B22" s="1" t="s">
        <v>36</v>
      </c>
      <c r="C22" s="32" t="s">
        <v>338</v>
      </c>
      <c r="D22">
        <v>1</v>
      </c>
    </row>
    <row r="23" spans="1:10" ht="15.75" customHeight="1" x14ac:dyDescent="0.2">
      <c r="A23" s="1">
        <v>9</v>
      </c>
      <c r="B23" s="1" t="s">
        <v>37</v>
      </c>
      <c r="C23" s="32" t="s">
        <v>339</v>
      </c>
      <c r="D23">
        <v>1</v>
      </c>
    </row>
    <row r="24" spans="1:10" ht="15.75" customHeight="1" x14ac:dyDescent="0.2">
      <c r="A24" s="1">
        <v>10</v>
      </c>
      <c r="B24" s="1" t="s">
        <v>38</v>
      </c>
      <c r="C24" s="32" t="s">
        <v>340</v>
      </c>
      <c r="D24">
        <v>1</v>
      </c>
    </row>
    <row r="25" spans="1:10" ht="15.75" customHeight="1" x14ac:dyDescent="0.2">
      <c r="A25" s="1">
        <v>11</v>
      </c>
      <c r="B25" s="1" t="s">
        <v>39</v>
      </c>
      <c r="C25" s="32" t="s">
        <v>341</v>
      </c>
      <c r="D25">
        <v>1</v>
      </c>
    </row>
    <row r="26" spans="1:10" ht="15.75" customHeight="1" x14ac:dyDescent="0.2">
      <c r="A26" s="1">
        <v>12</v>
      </c>
      <c r="B26" s="1" t="s">
        <v>40</v>
      </c>
      <c r="C26" s="32" t="s">
        <v>41</v>
      </c>
      <c r="D26">
        <v>1</v>
      </c>
    </row>
    <row r="27" spans="1:10" ht="15.75" customHeight="1" x14ac:dyDescent="0.2">
      <c r="A27" s="1">
        <v>13</v>
      </c>
      <c r="B27" s="1" t="s">
        <v>42</v>
      </c>
      <c r="C27" s="32" t="s">
        <v>41</v>
      </c>
      <c r="D27">
        <v>1</v>
      </c>
    </row>
    <row r="28" spans="1:10" ht="15.75" customHeight="1" thickBot="1" x14ac:dyDescent="0.25"/>
    <row r="29" spans="1:10" ht="15.75" customHeight="1" thickBot="1" x14ac:dyDescent="0.25">
      <c r="C29" s="41" t="s">
        <v>43</v>
      </c>
      <c r="D29" s="11">
        <f>SUM(D15:D27)</f>
        <v>13</v>
      </c>
      <c r="E29" s="42" t="s">
        <v>342</v>
      </c>
    </row>
  </sheetData>
  <mergeCells count="2">
    <mergeCell ref="A1:C1"/>
    <mergeCell ref="G16:J19"/>
  </mergeCells>
  <dataValidations count="11">
    <dataValidation type="list" allowBlank="1" showInputMessage="1" showErrorMessage="1" sqref="C15" xr:uid="{8F09626F-6013-406F-9F16-CD1F3D77B0F1}">
      <formula1>"holds jar, holds lid"</formula1>
    </dataValidation>
    <dataValidation type="list" allowBlank="1" showInputMessage="1" showErrorMessage="1" sqref="C16" xr:uid="{1E1F1A19-3FAA-4581-ABBB-92589232E76E}">
      <formula1>"holds receiver, dials phone, holds receiver and dials phone"</formula1>
    </dataValidation>
    <dataValidation type="list" allowBlank="1" showInputMessage="1" showErrorMessage="1" sqref="C17" xr:uid="{AB745E1E-F07D-4F3C-A88C-074B640C0306}">
      <formula1>"holds ruler, holds pen"</formula1>
    </dataValidation>
    <dataValidation type="list" allowBlank="1" showInputMessage="1" showErrorMessage="1" sqref="C18" xr:uid="{03187F20-FC98-4451-8382-D7C757BAB8C5}">
      <formula1>"holds glass, holds pitcher"</formula1>
    </dataValidation>
    <dataValidation type="list" allowBlank="1" showInputMessage="1" showErrorMessage="1" sqref="C21" xr:uid="{A8C18F97-E007-41F9-BEA0-DFF4DFEECDE7}">
      <formula1>"reaches for towel, grasps towel end"</formula1>
    </dataValidation>
    <dataValidation type="list" allowBlank="1" showInputMessage="1" showErrorMessage="1" sqref="C22" xr:uid="{1DB34AC5-84A4-4186-A72B-5A06350C033F}">
      <formula1>"holds toothpaste, holds brush"</formula1>
    </dataValidation>
    <dataValidation type="list" allowBlank="1" showInputMessage="1" showErrorMessage="1" sqref="C23" xr:uid="{A9CB1589-8D6D-48E5-ACCF-1B428DD20840}">
      <formula1>"holds knife, holds fork"</formula1>
    </dataValidation>
    <dataValidation type="list" allowBlank="1" showInputMessage="1" showErrorMessage="1" sqref="C24" xr:uid="{48B87BA3-0E11-4BAE-90D7-79DDC5653E65}">
      <formula1>"holds zipper, holds zipper pull"</formula1>
    </dataValidation>
    <dataValidation type="list" allowBlank="1" showInputMessage="1" showErrorMessage="1" sqref="C25" xr:uid="{F9F85873-18CF-41BB-985D-E5015DE71FD7}">
      <formula1>"holds glasses, wipes lenses"</formula1>
    </dataValidation>
    <dataValidation type="list" allowBlank="1" showInputMessage="1" showErrorMessage="1" sqref="F3" xr:uid="{5C963902-13A5-4EED-8298-D6254F2F4E29}">
      <formula1>"Left, Right"</formula1>
    </dataValidation>
    <dataValidation type="list" allowBlank="1" showInputMessage="1" showErrorMessage="1" sqref="D15:D27" xr:uid="{A3BE8211-9001-4BFD-A970-66ABB11C66A9}">
      <formula1>"1,2,3,4,5,6,7"</formula1>
    </dataValidation>
  </dataValidations>
  <hyperlinks>
    <hyperlink ref="D2" r:id="rId1" xr:uid="{7619BA26-52FC-49B4-9EDC-E7F904D27B98}"/>
    <hyperlink ref="B2" r:id="rId2" xr:uid="{B3036A04-FA20-4E5A-830D-BF0726D6610C}"/>
  </hyperlinks>
  <pageMargins left="0.7" right="0.7" top="0.75" bottom="0.75" header="0.3" footer="0.3"/>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CC0BE-6529-47BE-8DCA-8A86BB428960}">
  <dimension ref="A1:D21"/>
  <sheetViews>
    <sheetView workbookViewId="0">
      <selection activeCell="L36" sqref="L36"/>
    </sheetView>
  </sheetViews>
  <sheetFormatPr defaultRowHeight="12.75" x14ac:dyDescent="0.2"/>
  <cols>
    <col min="1" max="1" width="26.140625" customWidth="1"/>
    <col min="2" max="2" width="14.42578125" customWidth="1"/>
    <col min="4" max="4" width="13.5703125" customWidth="1"/>
  </cols>
  <sheetData>
    <row r="1" spans="1:4" x14ac:dyDescent="0.2">
      <c r="A1" s="74" t="s">
        <v>402</v>
      </c>
    </row>
    <row r="2" spans="1:4" x14ac:dyDescent="0.2">
      <c r="A2" s="42"/>
    </row>
    <row r="3" spans="1:4" ht="13.5" thickBot="1" x14ac:dyDescent="0.25"/>
    <row r="4" spans="1:4" ht="13.5" thickBot="1" x14ac:dyDescent="0.25">
      <c r="A4" s="118" t="s">
        <v>1</v>
      </c>
      <c r="B4" s="116" t="str">
        <f>'1_patient_info'!B3</f>
        <v>##</v>
      </c>
      <c r="C4" s="118" t="s">
        <v>5</v>
      </c>
      <c r="D4" s="110" t="s">
        <v>313</v>
      </c>
    </row>
    <row r="5" spans="1:4" x14ac:dyDescent="0.2">
      <c r="A5" s="42"/>
      <c r="B5" s="9"/>
    </row>
    <row r="8" spans="1:4" x14ac:dyDescent="0.2">
      <c r="A8" s="9" t="s">
        <v>400</v>
      </c>
    </row>
    <row r="9" spans="1:4" ht="13.5" thickBot="1" x14ac:dyDescent="0.25"/>
    <row r="10" spans="1:4" ht="12.95" customHeight="1" x14ac:dyDescent="0.2">
      <c r="A10" s="203" t="s">
        <v>394</v>
      </c>
      <c r="B10" s="205">
        <v>0</v>
      </c>
    </row>
    <row r="11" spans="1:4" x14ac:dyDescent="0.2">
      <c r="A11" s="204"/>
      <c r="B11" s="201"/>
    </row>
    <row r="12" spans="1:4" ht="12.95" customHeight="1" x14ac:dyDescent="0.2">
      <c r="A12" s="204" t="s">
        <v>395</v>
      </c>
      <c r="B12" s="201">
        <v>0</v>
      </c>
    </row>
    <row r="13" spans="1:4" x14ac:dyDescent="0.2">
      <c r="A13" s="204"/>
      <c r="B13" s="201"/>
    </row>
    <row r="14" spans="1:4" ht="12.95" customHeight="1" x14ac:dyDescent="0.2">
      <c r="A14" s="204" t="s">
        <v>396</v>
      </c>
      <c r="B14" s="201">
        <v>0</v>
      </c>
    </row>
    <row r="15" spans="1:4" x14ac:dyDescent="0.2">
      <c r="A15" s="204"/>
      <c r="B15" s="201"/>
    </row>
    <row r="16" spans="1:4" ht="12.95" customHeight="1" x14ac:dyDescent="0.2">
      <c r="A16" s="204" t="s">
        <v>397</v>
      </c>
      <c r="B16" s="201">
        <v>0</v>
      </c>
    </row>
    <row r="17" spans="1:2" x14ac:dyDescent="0.2">
      <c r="A17" s="204"/>
      <c r="B17" s="201"/>
    </row>
    <row r="18" spans="1:2" ht="12.95" customHeight="1" x14ac:dyDescent="0.2">
      <c r="A18" s="204" t="s">
        <v>398</v>
      </c>
      <c r="B18" s="201">
        <v>0</v>
      </c>
    </row>
    <row r="19" spans="1:2" x14ac:dyDescent="0.2">
      <c r="A19" s="204"/>
      <c r="B19" s="201"/>
    </row>
    <row r="20" spans="1:2" ht="12.95" customHeight="1" x14ac:dyDescent="0.2">
      <c r="A20" s="204" t="s">
        <v>399</v>
      </c>
      <c r="B20" s="201">
        <v>0</v>
      </c>
    </row>
    <row r="21" spans="1:2" ht="13.5" thickBot="1" x14ac:dyDescent="0.25">
      <c r="A21" s="206"/>
      <c r="B21" s="202"/>
    </row>
  </sheetData>
  <mergeCells count="12">
    <mergeCell ref="B18:B19"/>
    <mergeCell ref="B20:B21"/>
    <mergeCell ref="A10:A11"/>
    <mergeCell ref="B10:B11"/>
    <mergeCell ref="B12:B13"/>
    <mergeCell ref="B14:B15"/>
    <mergeCell ref="B16:B17"/>
    <mergeCell ref="A20:A21"/>
    <mergeCell ref="A18:A19"/>
    <mergeCell ref="A16:A17"/>
    <mergeCell ref="A14:A15"/>
    <mergeCell ref="A12:A13"/>
  </mergeCells>
  <dataValidations count="1">
    <dataValidation type="whole" showInputMessage="1" showErrorMessage="1" sqref="B10:B21" xr:uid="{AD08F8C5-9770-40A0-8E4E-79667ACCA6BF}">
      <formula1>0</formula1>
      <formula2>20</formula2>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E0B75-C725-4E47-AF4E-08F0DC322C21}">
  <dimension ref="A1:D21"/>
  <sheetViews>
    <sheetView workbookViewId="0">
      <selection activeCell="E28" sqref="E28"/>
    </sheetView>
  </sheetViews>
  <sheetFormatPr defaultRowHeight="12.75" x14ac:dyDescent="0.2"/>
  <cols>
    <col min="1" max="1" width="26.140625" customWidth="1"/>
    <col min="2" max="2" width="14.42578125" customWidth="1"/>
    <col min="4" max="4" width="13.5703125" customWidth="1"/>
  </cols>
  <sheetData>
    <row r="1" spans="1:4" x14ac:dyDescent="0.2">
      <c r="A1" s="74" t="s">
        <v>401</v>
      </c>
    </row>
    <row r="2" spans="1:4" x14ac:dyDescent="0.2">
      <c r="A2" s="42"/>
    </row>
    <row r="3" spans="1:4" ht="13.5" thickBot="1" x14ac:dyDescent="0.25"/>
    <row r="4" spans="1:4" ht="13.5" thickBot="1" x14ac:dyDescent="0.25">
      <c r="A4" s="118" t="s">
        <v>1</v>
      </c>
      <c r="B4" s="116" t="str">
        <f>'1_patient_info'!B3</f>
        <v>##</v>
      </c>
      <c r="C4" s="118" t="s">
        <v>5</v>
      </c>
      <c r="D4" s="110" t="s">
        <v>313</v>
      </c>
    </row>
    <row r="5" spans="1:4" x14ac:dyDescent="0.2">
      <c r="A5" s="42"/>
      <c r="B5" s="9"/>
    </row>
    <row r="8" spans="1:4" x14ac:dyDescent="0.2">
      <c r="A8" s="9" t="s">
        <v>400</v>
      </c>
    </row>
    <row r="9" spans="1:4" ht="13.5" thickBot="1" x14ac:dyDescent="0.25"/>
    <row r="10" spans="1:4" ht="12.95" customHeight="1" x14ac:dyDescent="0.2">
      <c r="A10" s="203" t="s">
        <v>394</v>
      </c>
      <c r="B10" s="205">
        <v>0</v>
      </c>
    </row>
    <row r="11" spans="1:4" x14ac:dyDescent="0.2">
      <c r="A11" s="204"/>
      <c r="B11" s="201"/>
    </row>
    <row r="12" spans="1:4" ht="12.95" customHeight="1" x14ac:dyDescent="0.2">
      <c r="A12" s="204" t="s">
        <v>395</v>
      </c>
      <c r="B12" s="201">
        <v>0</v>
      </c>
    </row>
    <row r="13" spans="1:4" x14ac:dyDescent="0.2">
      <c r="A13" s="204"/>
      <c r="B13" s="201"/>
    </row>
    <row r="14" spans="1:4" ht="12.95" customHeight="1" x14ac:dyDescent="0.2">
      <c r="A14" s="204" t="s">
        <v>396</v>
      </c>
      <c r="B14" s="201">
        <v>0</v>
      </c>
    </row>
    <row r="15" spans="1:4" x14ac:dyDescent="0.2">
      <c r="A15" s="204"/>
      <c r="B15" s="201"/>
    </row>
    <row r="16" spans="1:4" ht="12.95" customHeight="1" x14ac:dyDescent="0.2">
      <c r="A16" s="204" t="s">
        <v>397</v>
      </c>
      <c r="B16" s="201">
        <v>0</v>
      </c>
    </row>
    <row r="17" spans="1:2" x14ac:dyDescent="0.2">
      <c r="A17" s="204"/>
      <c r="B17" s="201"/>
    </row>
    <row r="18" spans="1:2" ht="12.95" customHeight="1" x14ac:dyDescent="0.2">
      <c r="A18" s="204" t="s">
        <v>398</v>
      </c>
      <c r="B18" s="201">
        <v>0</v>
      </c>
    </row>
    <row r="19" spans="1:2" x14ac:dyDescent="0.2">
      <c r="A19" s="204"/>
      <c r="B19" s="201"/>
    </row>
    <row r="20" spans="1:2" ht="12.95" customHeight="1" x14ac:dyDescent="0.2">
      <c r="A20" s="204" t="s">
        <v>399</v>
      </c>
      <c r="B20" s="201">
        <v>0</v>
      </c>
    </row>
    <row r="21" spans="1:2" ht="13.5" thickBot="1" x14ac:dyDescent="0.25">
      <c r="A21" s="206"/>
      <c r="B21" s="202"/>
    </row>
  </sheetData>
  <mergeCells count="12">
    <mergeCell ref="A10:A11"/>
    <mergeCell ref="B10:B11"/>
    <mergeCell ref="A12:A13"/>
    <mergeCell ref="B12:B13"/>
    <mergeCell ref="A14:A15"/>
    <mergeCell ref="B14:B15"/>
    <mergeCell ref="A16:A17"/>
    <mergeCell ref="B16:B17"/>
    <mergeCell ref="A18:A19"/>
    <mergeCell ref="B18:B19"/>
    <mergeCell ref="A20:A21"/>
    <mergeCell ref="B20:B21"/>
  </mergeCells>
  <dataValidations count="1">
    <dataValidation type="whole" showInputMessage="1" showErrorMessage="1" sqref="B10:B21" xr:uid="{DC5F6ACC-81EC-4EE1-885B-C0816CBA51F0}">
      <formula1>0</formula1>
      <formula2>20</formula2>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9863316-4E4C-4118-AA26-6A6FF0A8AAE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1_patient_info</vt:lpstr>
      <vt:lpstr>NOTES</vt:lpstr>
      <vt:lpstr>2_StrokeImpactScale</vt:lpstr>
      <vt:lpstr>3_COPM</vt:lpstr>
      <vt:lpstr>4_ModifiedAshworthScale</vt:lpstr>
      <vt:lpstr>5_Fugl-Meyer</vt:lpstr>
      <vt:lpstr>6_box_and_blocks</vt:lpstr>
      <vt:lpstr>7a_MyomoTasks_WITHOUT_MYOPRO</vt:lpstr>
      <vt:lpstr>7b_MyomoTasks_WITH_MYOPRO</vt:lpstr>
      <vt:lpstr>8a_CAHAI_WITHOUT_MYOPRO</vt:lpstr>
      <vt:lpstr>8b_CAHAI_WITH_MYOPRO</vt:lpstr>
      <vt:lpstr>9a_NASA_TLX_WITHOUT_MYOPRO</vt:lpstr>
      <vt:lpstr>9b_NASA_TLX_WITH_MYOPRO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Leonardo</dc:creator>
  <cp:lastModifiedBy>Leonardo Ferrisi</cp:lastModifiedBy>
  <dcterms:created xsi:type="dcterms:W3CDTF">2025-08-31T23:27:11Z</dcterms:created>
  <dcterms:modified xsi:type="dcterms:W3CDTF">2026-05-20T21:14:12Z</dcterms:modified>
</cp:coreProperties>
</file>